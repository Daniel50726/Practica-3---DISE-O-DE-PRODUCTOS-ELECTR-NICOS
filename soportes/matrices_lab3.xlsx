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udeaeduco-my.sharepoint.com/personal/daniel_yepez_udea_edu_co/Documents/"/>
    </mc:Choice>
  </mc:AlternateContent>
  <xr:revisionPtr revIDLastSave="0" documentId="8_{31C3D094-AD6C-403F-B062-C73D0608B703}" xr6:coauthVersionLast="47" xr6:coauthVersionMax="47" xr10:uidLastSave="{00000000-0000-0000-0000-000000000000}"/>
  <bookViews>
    <workbookView xWindow="-108" yWindow="-108" windowWidth="23256" windowHeight="12456" firstSheet="1" activeTab="10" xr2:uid="{00000000-000D-0000-FFFF-FFFF00000000}"/>
  </bookViews>
  <sheets>
    <sheet name="Guia" sheetId="1" r:id="rId1"/>
    <sheet name="02_Requisitos_preliminares" sheetId="12" r:id="rId2"/>
    <sheet name="03_Aspectos_pendientes" sheetId="13" r:id="rId3"/>
    <sheet name="04_Especificaciones_Tecnicas" sheetId="14" r:id="rId4"/>
    <sheet name="05_funciones_HW_SW" sheetId="2" r:id="rId5"/>
    <sheet name="06_flujos_potencia" sheetId="3" r:id="rId6"/>
    <sheet name="06_flujos_datos" sheetId="4" r:id="rId7"/>
    <sheet name="06_senales_control" sheetId="5" r:id="rId8"/>
    <sheet name="07_alternativas" sheetId="6" r:id="rId9"/>
    <sheet name="08_matriz_seleccion" sheetId="7" r:id="rId10"/>
    <sheet name="09_interfaces" sheetId="8" r:id="rId11"/>
    <sheet name="10_Presupuestos" sheetId="15" r:id="rId12"/>
    <sheet name="fuentes" sheetId="11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7" l="1"/>
  <c r="D13" i="7"/>
  <c r="B13" i="7"/>
  <c r="F12" i="7"/>
  <c r="D12" i="7"/>
  <c r="F11" i="7"/>
  <c r="D11" i="7"/>
  <c r="F10" i="7"/>
  <c r="D10" i="7"/>
  <c r="F9" i="7"/>
  <c r="D9" i="7"/>
  <c r="F8" i="7"/>
  <c r="D8" i="7"/>
  <c r="F7" i="7"/>
  <c r="D7" i="7"/>
  <c r="F6" i="7"/>
  <c r="D6" i="7"/>
  <c r="F5" i="7"/>
  <c r="D5" i="7"/>
</calcChain>
</file>

<file path=xl/sharedStrings.xml><?xml version="1.0" encoding="utf-8"?>
<sst xmlns="http://schemas.openxmlformats.org/spreadsheetml/2006/main" count="689" uniqueCount="521">
  <si>
    <t>Guía de uso - soportes Lab 3</t>
  </si>
  <si>
    <t>Plantilla editable para matrices, flujos, alternativas, selección y presupuestos preliminares.</t>
  </si>
  <si>
    <t>Pestaña</t>
  </si>
  <si>
    <t>Uso</t>
  </si>
  <si>
    <t>Estado sugerido</t>
  </si>
  <si>
    <t>05_funciones_HW_SW</t>
  </si>
  <si>
    <t>Registrar la distribución de funciones entre hardware, software o mixta.</t>
  </si>
  <si>
    <t>Completar y ajustar con los requisitos finales.</t>
  </si>
  <si>
    <t>06_flujos_potencia</t>
  </si>
  <si>
    <t>Respaldar la tabla de flujos de potencia del informe.</t>
  </si>
  <si>
    <t>Revisar contra el diagrama funcional.</t>
  </si>
  <si>
    <t>06_flujos_datos</t>
  </si>
  <si>
    <t>Respaldar la tabla de flujos de datos y telemetría.</t>
  </si>
  <si>
    <t>Revisar que no haya conexiones directas ficticias.</t>
  </si>
  <si>
    <t>06_senales_control</t>
  </si>
  <si>
    <t>Respaldar la tabla de comandos y señales de control.</t>
  </si>
  <si>
    <t>Separar comandos de telemetría y alertas.</t>
  </si>
  <si>
    <t>07_alternativas</t>
  </si>
  <si>
    <t>Comparar decisiones de arquitectura entre Alternativa A y B.</t>
  </si>
  <si>
    <t>Base para el punto 8.</t>
  </si>
  <si>
    <t>08_matriz_seleccion</t>
  </si>
  <si>
    <t>Matriz ponderada de selección de arquitectura.</t>
  </si>
  <si>
    <t>Completar cuando definan pesos y calificaciones.</t>
  </si>
  <si>
    <t>09_interfaces</t>
  </si>
  <si>
    <t>Tabla preliminar de interfaces principales.</t>
  </si>
  <si>
    <t>Completar en el punto 9.</t>
  </si>
  <si>
    <t>10_potencia</t>
  </si>
  <si>
    <t>Presupuesto preliminar de potencia, energía, masa y volumen.</t>
  </si>
  <si>
    <t>Completar en el punto 10 con fuentes.</t>
  </si>
  <si>
    <t>10_datos</t>
  </si>
  <si>
    <t>Presupuesto preliminar de datos, almacenamiento y tasa de transferencia.</t>
  </si>
  <si>
    <t>Completar en el punto 10 con supuestos.</t>
  </si>
  <si>
    <t>fuentes</t>
  </si>
  <si>
    <t>Registro de fuentes técnicas, hojas de datos y enlaces.</t>
  </si>
  <si>
    <t>Actualizar desde ya.</t>
  </si>
  <si>
    <t>ID</t>
  </si>
  <si>
    <t>Tipo</t>
  </si>
  <si>
    <t>Requisito</t>
  </si>
  <si>
    <t>Origen o justificación</t>
  </si>
  <si>
    <t>Prioridad</t>
  </si>
  <si>
    <t>Criterio de aceptación</t>
  </si>
  <si>
    <t>RF-01</t>
  </si>
  <si>
    <t>Funcional</t>
  </si>
  <si>
    <t>El sistema debe adquirir y almacenar imágenes en múltiples bandas espectrales de regiones cafetaleras.</t>
  </si>
  <si>
    <t>Misión principal del satélite.</t>
  </si>
  <si>
    <t>Alta</t>
  </si>
  <si>
    <t>Se genera y almacena en memoria no volátil un archivo de imagen con las bandas definidas.</t>
  </si>
  <si>
    <t>RF-02</t>
  </si>
  <si>
    <t>El sistema de comunicaciones debe transmitir telemetría/imágenes y recibir comandos a través de un único transceptor.</t>
  </si>
  <si>
    <t>Supuesto de diseño / Misión del satélite.</t>
  </si>
  <si>
    <t>La arquitectura incluye un transceptor bidireccional y se estima el presupuesto del enlace.</t>
  </si>
  <si>
    <t>RF-03</t>
  </si>
  <si>
    <t>El sistema debe capturar datos de orientación espacial y accionar mecanismos para apuntar la cámara.</t>
  </si>
  <si>
    <t>Necesidad de determinación y control de actitud.</t>
  </si>
  <si>
    <t>Se identifican sensores inerciales/magnéticos y actuadores controlables desde la CPU.</t>
  </si>
  <si>
    <t>RF-04</t>
  </si>
  <si>
    <t>El hardware debe monitorizar continuamente las tensiones, corrientes y el estado de carga de las baterías.</t>
  </si>
  <si>
    <t>Necesidad de telemetría de supervivencia.</t>
  </si>
  <si>
    <t>El esquemático incluye circuitos de sensado de corriente/tensión accesibles por ADC o I2C.</t>
  </si>
  <si>
    <t>RNF-01</t>
  </si>
  <si>
    <t>No funcional</t>
  </si>
  <si>
    <t>Todos los componentes deben alojarse dentro de un volumen aproximado de 10x10x10 cm.</t>
  </si>
  <si>
    <t>Restricción física del formato CubeSat 1U.</t>
  </si>
  <si>
    <t>El modelo tridimensional demuestra que las PCBs y componentes encajan sin interferencias.</t>
  </si>
  <si>
    <t>RNF-02</t>
  </si>
  <si>
    <t>El diseño del hardware debe distribuirse en al menos dos PCBs separadas (ej. Potencia y Cómputo/Comunicaciones).</t>
  </si>
  <si>
    <t>Restricción de la guía para evitar interferencia electromagnética (EMI).</t>
  </si>
  <si>
    <t>Se definen conectores e interfaces eléctricas claras entre al menos dos tarjetas.</t>
  </si>
  <si>
    <t>RNF-03</t>
  </si>
  <si>
    <t>El enrutamiento debe garantizar la integridad de señal en buses digitales de alta velocidad (interfaz de cámara y memoria).</t>
  </si>
  <si>
    <t>Recomendación transversal de diseño de la guía.</t>
  </si>
  <si>
    <t>Se aplican técnicas de control de impedancia y pares diferenciales en el enrutamiento.</t>
  </si>
  <si>
    <t>RA-01</t>
  </si>
  <si>
    <t>Ambiental</t>
  </si>
  <si>
    <t>El hardware debe considerar las condiciones térmicas, de vacío y radiación de una órbita baja a unos 550 km.</t>
  </si>
  <si>
    <t>Condición operativa LEO heliosíncrona durante 6 meses.</t>
  </si>
  <si>
    <t>Media</t>
  </si>
  <si>
    <t>Los componentes principales seleccionados poseen rangos de temperatura industrial o extendida.</t>
  </si>
  <si>
    <t>RA-02</t>
  </si>
  <si>
    <t>El sistema debe tolerar los ciclos repetitivos de iluminación y eclipse orbital sin degradación prematura de la batería.</t>
  </si>
  <si>
    <t>Dinámica térmica de una órbita LEO.</t>
  </si>
  <si>
    <t>El diseño de potencia incluye márgenes de seguridad para la carga y descarga cíclica.</t>
  </si>
  <si>
    <t>RA-03</t>
  </si>
  <si>
    <t>Las placas y conectores deben soportar las vibraciones mecánicas de la fase de lanzamiento.</t>
  </si>
  <si>
    <t>Condiciones mecánicas de un lanzamiento espacial.</t>
  </si>
  <si>
    <t>Uso de componentes SMD, conectores con retención mecánica y múltiples puntos de anclaje de PCB.</t>
  </si>
  <si>
    <t>RN-01</t>
  </si>
  <si>
    <t>Normativo</t>
  </si>
  <si>
    <t>Las frecuencias de transmisión y niveles de potencia deben ser compatibles con una estación terrestre estándar.</t>
  </si>
  <si>
    <t>Restricción de comunicaciones del proyecto.</t>
  </si>
  <si>
    <t>Selección de un transceptor en bandas autorizadas (ej. UHF/VHF o Banda S) según normativas de la UIT.</t>
  </si>
  <si>
    <t>RN-02</t>
  </si>
  <si>
    <t>El diseño de las PCBs debe aplicar las recomendaciones de "layout" del fabricante para convertidores conmutados y etapas de RF.</t>
  </si>
  <si>
    <t>Criterio de evaluación de integridad de potencia.</t>
  </si>
  <si>
    <t>El diseño físico respeta las geometrías de retorno, vías de disipación térmica y planos de masa recomendados.</t>
  </si>
  <si>
    <t>Tema</t>
  </si>
  <si>
    <t>Estado</t>
  </si>
  <si>
    <t>Justificación</t>
  </si>
  <si>
    <t>Arquitectura del transceptor (UHF único vs. UHF + Banda S)</t>
  </si>
  <si>
    <t>TBD</t>
  </si>
  <si>
    <t>Se evaluará si un único radio UHF logra descargar el volumen de imágenes durante la ventana de visibilidad sobre Medellín, o si el cuello de botella exige agregar un transmisor de alta velocidad.</t>
  </si>
  <si>
    <t>Resolución de la cámara y número de bandas</t>
  </si>
  <si>
    <t>Depende de la selección final del módulo OEM de la cámara multiespectral y de su interfaz digital (SPI o CSI).</t>
  </si>
  <si>
    <t>Capacidad exacta de almacenamiento</t>
  </si>
  <si>
    <t>Depende del volumen de datos producido (peso del archivo de imagen RAW) y de la frecuencia de contacto exitoso con la estación terrestre.</t>
  </si>
  <si>
    <t>Capacidad de la batería (mAh)</t>
  </si>
  <si>
    <t>Depende del cálculo del presupuesto de potencia máximo y del tiempo que el satélite pasa en eclipse durante su órbita LEO heliosíncrona.</t>
  </si>
  <si>
    <t>Selección de actuadores de actitud</t>
  </si>
  <si>
    <t>Depende de si el apuntamiento aproximado hacia la Tierra puede lograrse únicamente con magnetorquer (bobinas) o si el hardware requerirá manejar ruedas de reacción.</t>
  </si>
  <si>
    <t>ID Esp.</t>
  </si>
  <si>
    <t>Req. asociados</t>
  </si>
  <si>
    <t>Parámetro técnico</t>
  </si>
  <si>
    <t>Valor / Rango / Tolerancia</t>
  </si>
  <si>
    <t>Unidad</t>
  </si>
  <si>
    <t>Fundamento</t>
  </si>
  <si>
    <t>Método previsto de verificación</t>
  </si>
  <si>
    <t>ET-01</t>
  </si>
  <si>
    <t>RF-04, RA-02</t>
  </si>
  <si>
    <t>Tensión del bus principal (Batería)</t>
  </si>
  <si>
    <t>7.4 (Nominal) / 6.0 a 8.4</t>
  </si>
  <si>
    <t>V</t>
  </si>
  <si>
    <t>Configuración 2S (dos celdas en serie) para asegurar margen de regulación a 5V y soportar los ciclos de eclipse.</t>
  </si>
  <si>
    <t>Medición directa a la salida del gestor de batería.</t>
  </si>
  <si>
    <t>ET-02</t>
  </si>
  <si>
    <t>RF-01, RNF-02</t>
  </si>
  <si>
    <t>Tensiones de distribución lógica</t>
  </si>
  <si>
    <t>3.3 y 5.0 (+/- 5%)</t>
  </si>
  <si>
    <t>Niveles eléctricos estándar requeridos para alimentar el microcontrolador, las memorias y la cámara multiespectral.</t>
  </si>
  <si>
    <t>Simulación y prueba de los convertidores DC-DC.</t>
  </si>
  <si>
    <t>ET-03</t>
  </si>
  <si>
    <t>Dimensiones máximas por PCB</t>
  </si>
  <si>
    <t>&lt;= 90 x 90</t>
  </si>
  <si>
    <t>mm</t>
  </si>
  <si>
    <t>Tolerancia mecánica estándar para encajar físicamente dentro del chasis 1U.</t>
  </si>
  <si>
    <t>Verificación de reglas (DRC) y ensamblaje 3D.</t>
  </si>
  <si>
    <t>ET-04</t>
  </si>
  <si>
    <t>Capacidad de almacenamiento no volátil</t>
  </si>
  <si>
    <t>&gt;= 16</t>
  </si>
  <si>
    <t>GB</t>
  </si>
  <si>
    <t>Capacidad mínima requerida para almacenar de forma segura múltiples archivos de imágenes RAW antes de su descarga.</t>
  </si>
  <si>
    <t>Revisión de hoja de datos del módulo (ej. memoria eMMC o MicroSD).</t>
  </si>
  <si>
    <t>ET-05</t>
  </si>
  <si>
    <t>RF-02, RN-01</t>
  </si>
  <si>
    <t>Frecuencia de enlace RF (Downlink/Uplink)</t>
  </si>
  <si>
    <t>435 a 438</t>
  </si>
  <si>
    <t>MHz</t>
  </si>
  <si>
    <t>Rango de la banda UHF asignada internacionalmente para comunicaciones de satélites LEO.</t>
  </si>
  <si>
    <t>Especificaciones de la hoja de datos del transceptor.</t>
  </si>
  <si>
    <t>ET-06</t>
  </si>
  <si>
    <t>Tasa de transmisión base (Downlink)</t>
  </si>
  <si>
    <t>&gt;= 9600</t>
  </si>
  <si>
    <t>bps</t>
  </si>
  <si>
    <t>Velocidad típica soportada por radios UHF. Sujeto a revisión (TBD) según el volumen final de las imágenes.</t>
  </si>
  <si>
    <t>Hoja de datos del radio y prueba de enlace.</t>
  </si>
  <si>
    <t>ET-07</t>
  </si>
  <si>
    <t>Rango de temperatura operativa</t>
  </si>
  <si>
    <t>-40 a +85</t>
  </si>
  <si>
    <t>°C</t>
  </si>
  <si>
    <t>Rango de grado industrial seleccionado para tolerar las variaciones térmicas de la órbita LEO.</t>
  </si>
  <si>
    <t>Inspección de los límites máximos absolutos (Absolute Maximum Ratings) en hojas de datos.</t>
  </si>
  <si>
    <t>ET-08</t>
  </si>
  <si>
    <t>RF-01, RNF-03</t>
  </si>
  <si>
    <t>Frecuencia de reloj del procesador principal</t>
  </si>
  <si>
    <t>&gt;= 80</t>
  </si>
  <si>
    <t>Estimación base para garantizar el procesamiento de las imágenes y la gestión de buses de alta velocidad.</t>
  </si>
  <si>
    <t>Especificaciones de la hoja de datos del microcontrolador.</t>
  </si>
  <si>
    <t>Punto 5 - Distribución de funciones HW/SW</t>
  </si>
  <si>
    <t>Completar con funciones, recursos requeridos y trazabilidad a requisitos.</t>
  </si>
  <si>
    <t>Función</t>
  </si>
  <si>
    <t>Recursos de hardware</t>
  </si>
  <si>
    <t>Responsabilidad del software futuro</t>
  </si>
  <si>
    <t>Requisito asociado</t>
  </si>
  <si>
    <t>Adquisición de imágenes multiespectrales</t>
  </si>
  <si>
    <t>Mixta</t>
  </si>
  <si>
    <t>Cámara multiespectral, interfaz de datos, alimentación regulada.</t>
  </si>
  <si>
    <t>Configurar cámara, iniciar captura y transferir datos.</t>
  </si>
  <si>
    <t>La medición es física, pero requiere control digital.</t>
  </si>
  <si>
    <t>Borrador</t>
  </si>
  <si>
    <t>Almacenamiento temporal de datos</t>
  </si>
  <si>
    <t>Memoria no volátil e interfaz con OBC.</t>
  </si>
  <si>
    <t>Organizar, escribir, leer y priorizar datos.</t>
  </si>
  <si>
    <t>Las imágenes no siempre se transmiten inmediatamente.</t>
  </si>
  <si>
    <t>Comunicación con tierra</t>
  </si>
  <si>
    <t>Transceptor, antena, etapa de RF e interfaz digital.</t>
  </si>
  <si>
    <t>Preparar paquetes, recibir comandos y manejar enlace.</t>
  </si>
  <si>
    <t>Requiere hardware RF y protocolos de operación.</t>
  </si>
  <si>
    <t>Gestión de energía</t>
  </si>
  <si>
    <t>Paneles solares, batería, reguladores, protecciones y sensores.</t>
  </si>
  <si>
    <t>Supervisar energía y decidir modos de operación.</t>
  </si>
  <si>
    <t>Combina conversión física con supervisión lógica.</t>
  </si>
  <si>
    <t>RF-05</t>
  </si>
  <si>
    <t>Control de actitud</t>
  </si>
  <si>
    <t>Sensores de actitud, actuadores y drivers.</t>
  </si>
  <si>
    <t>Estimar orientación y enviar comandos de actuación.</t>
  </si>
  <si>
    <t>Necesario para apuntamiento y estabilidad.</t>
  </si>
  <si>
    <t>Punto 6 - Flujos preliminares de potencia</t>
  </si>
  <si>
    <t>Usar para mantener coherencia entre tabla, diagrama y texto del informe.</t>
  </si>
  <si>
    <t>Origen</t>
  </si>
  <si>
    <t>Destino</t>
  </si>
  <si>
    <t>Propósito</t>
  </si>
  <si>
    <t>Observaciones</t>
  </si>
  <si>
    <t>Paneles solares</t>
  </si>
  <si>
    <t>Sistema de potencia</t>
  </si>
  <si>
    <t>Generar energía eléctrica durante períodos de iluminación.</t>
  </si>
  <si>
    <t>Batería</t>
  </si>
  <si>
    <t>Cargar la batería cuando exista energía disponible.</t>
  </si>
  <si>
    <t>Suministrar energía durante eclipse o baja generación solar.</t>
  </si>
  <si>
    <t>Computador de a bordo</t>
  </si>
  <si>
    <t>Alimentar la unidad central de control y procesamiento.</t>
  </si>
  <si>
    <t>Carga útil multiespectral</t>
  </si>
  <si>
    <t>Alimentar la cámara durante adquisición de imágenes.</t>
  </si>
  <si>
    <t>Sistema de comunicaciones</t>
  </si>
  <si>
    <t>Alimentar transceptor, etapa de RF y circuitos asociados.</t>
  </si>
  <si>
    <t>Sistema de determinación y control de actitud</t>
  </si>
  <si>
    <t>Alimentar sensores de actitud, actuadores y circuitos asociados.</t>
  </si>
  <si>
    <t>Almacenamiento</t>
  </si>
  <si>
    <t>Alimentar memorias no volátiles y circuitos asociados.</t>
  </si>
  <si>
    <t>Supervisión térmica y de estado</t>
  </si>
  <si>
    <t>Supervision termica y de estado</t>
  </si>
  <si>
    <t>Alimentar sensores térmicos, sensores eléctricos y diagnóstico.</t>
  </si>
  <si>
    <t>Punto 6 - Flujos preliminares de datos</t>
  </si>
  <si>
    <t>Registrar datos, telemetría, estados y alertas. No mezclar con comandos de control.</t>
  </si>
  <si>
    <t>Información transferida</t>
  </si>
  <si>
    <t>Datos de imagen, estado de cámara y confirmación de captura.</t>
  </si>
  <si>
    <t>Imágenes organizadas, telemetría y registros de eventos.</t>
  </si>
  <si>
    <t>Datos recuperados para transmisión o verificación.</t>
  </si>
  <si>
    <t>Paquetes de telemetría, datos de misión y respuestas a comandos.</t>
  </si>
  <si>
    <t>Comandos recibidos, estado del enlace y confirmaciones de recepción.</t>
  </si>
  <si>
    <t>Los comandos se validan en el OBC.</t>
  </si>
  <si>
    <t>Estación terrestre</t>
  </si>
  <si>
    <t>Estacion terrestre</t>
  </si>
  <si>
    <t>Telemetría, datos de misión y respuestas transmitidas hacia tierra.</t>
  </si>
  <si>
    <t>Comandos, solicitudes de datos y parámetros de configuración.</t>
  </si>
  <si>
    <t>Sensores de actitud</t>
  </si>
  <si>
    <t>Mediciones para estimación de orientación.</t>
  </si>
  <si>
    <t>Sensores eléctricos y térmicos</t>
  </si>
  <si>
    <t>Voltajes, corrientes, temperatura y estados de diagnóstico.</t>
  </si>
  <si>
    <t>Estado de batería, estado de carga, alertas eléctricas y fallas.</t>
  </si>
  <si>
    <t>Punto 6 - Señales preliminares de control</t>
  </si>
  <si>
    <t>Registrar comandos, configuraciones y activaciones. Las alertas van en datos/telemetría.</t>
  </si>
  <si>
    <t>Función de control</t>
  </si>
  <si>
    <t>Configurar cámara, iniciar capturas y cambiar parámetros.</t>
  </si>
  <si>
    <t>Ordenar lectura, escritura, borrado o protección de datos.</t>
  </si>
  <si>
    <t>Activar transmisión, preparar recepción y seleccionar datos a enviar.</t>
  </si>
  <si>
    <t>Solicitar estado eléctrico o activar/desactivar cargas si aplica.</t>
  </si>
  <si>
    <t>Sistema de sensores de actitud</t>
  </si>
  <si>
    <t>Configurar sensores y enviar comandos a actuadores.</t>
  </si>
  <si>
    <t>Sistema de sensores eléctricos y térmicos</t>
  </si>
  <si>
    <t>Configurar sensores, seleccionar canales o modificar frecuencia de lectura.</t>
  </si>
  <si>
    <t>Enviar comandos hacia el CubeSat mediante enlace de radio.</t>
  </si>
  <si>
    <t>Flujo externo al satélite.</t>
  </si>
  <si>
    <t>Entregar comandos recibidos para validación y ejecución.</t>
  </si>
  <si>
    <t>Punto 7 - Alternativas de arquitectura</t>
  </si>
  <si>
    <t>Describir alternativas por decisiones de arquitectura.</t>
  </si>
  <si>
    <t>Decisión de arquitectura</t>
  </si>
  <si>
    <t>Alternativa A: centralizada e integrada</t>
  </si>
  <si>
    <t>Alternativa B: modular parcialmente distribuida</t>
  </si>
  <si>
    <t>Procesamiento</t>
  </si>
  <si>
    <t>El computador de a bordo concentra coordinación, datos, comunicación y supervisión.</t>
  </si>
  <si>
    <t>El OBC coordina, pero algunos subsistemas tienen controladores locales.</t>
  </si>
  <si>
    <t>División en PCBs</t>
  </si>
  <si>
    <t>División moderada con PCB principal y módulos separados.</t>
  </si>
  <si>
    <t>PCBs especializadas para potencia, OBC, carga útil, comunicaciones, actitud y supervisión.</t>
  </si>
  <si>
    <t>Comunicaciones internas</t>
  </si>
  <si>
    <t>Interfaces conectadas principalmente al OBC.</t>
  </si>
  <si>
    <t>Interfaces internas más estructuradas entre módulos.</t>
  </si>
  <si>
    <t>Carga útil</t>
  </si>
  <si>
    <t>Cámara dependiente del OBC para configuración y transferencia.</t>
  </si>
  <si>
    <t>Carga útil con electrónica dedicada para adquisición y memoria temporal.</t>
  </si>
  <si>
    <t>EPS regula y protege; OBC consulta estados y puede activar cargas.</t>
  </si>
  <si>
    <t>EPS con mayor supervisión local y acciones de protección autónomas.</t>
  </si>
  <si>
    <t>Enlace con tierra</t>
  </si>
  <si>
    <t>Un enlace principal bidireccional para comandos, telemetría y datos.</t>
  </si>
  <si>
    <t>Posibilidad de separar enlace de datos y enlace/modo de baja tasa.</t>
  </si>
  <si>
    <t>Sensores y actuadores de orientación</t>
  </si>
  <si>
    <t>OBC lee sensores y controla actuadores mediante drivers.</t>
  </si>
  <si>
    <t>ADCS con controlador local para sensores, actuadores y bajo nivel.</t>
  </si>
  <si>
    <t>Lectura desde OBC o sistema de potencia.</t>
  </si>
  <si>
    <t>Supervisión distribuida entre EPS, OBC y sección de diagnóstico.</t>
  </si>
  <si>
    <t>Punto 8 - Matriz ponderada de selección</t>
  </si>
  <si>
    <t>Escala sugerida: 1 = desfavorable, 5 = favorable.</t>
  </si>
  <si>
    <t>Soporte del calculo de la matriz</t>
  </si>
  <si>
    <t>Criterio</t>
  </si>
  <si>
    <t>Peso</t>
  </si>
  <si>
    <t>Calificación A</t>
  </si>
  <si>
    <t>Puntaje A</t>
  </si>
  <si>
    <t>Calificación B</t>
  </si>
  <si>
    <t>Puntaje B</t>
  </si>
  <si>
    <t>Justificación de la valoración</t>
  </si>
  <si>
    <t>Elemento</t>
  </si>
  <si>
    <t>Soporte</t>
  </si>
  <si>
    <t>Consumo de energía</t>
  </si>
  <si>
    <t>Evaluar consumo adicional por controladores, RF, cámara y actuadores.</t>
  </si>
  <si>
    <t>Escala de calificacion</t>
  </si>
  <si>
    <t>Se usa una escala de 1 a 5, donde 1 representa una condicion desfavorable, 3 una condicion aceptable y 5 una condicion favorable para el proyecto.</t>
  </si>
  <si>
    <t>Complejidad de diseño</t>
  </si>
  <si>
    <t>Considerar integración, número de interfaces y dificultad de depuración.</t>
  </si>
  <si>
    <t>Formula de calculo</t>
  </si>
  <si>
    <t>Para cada criterio se calcula: puntaje ponderado = peso del criterio x calificacion de la alternativa. El puntaje total es la suma de los puntajes ponderados.</t>
  </si>
  <si>
    <t>Facilidad de prueba</t>
  </si>
  <si>
    <t>Comparar pruebas del sistema completo contra pruebas por módulo.</t>
  </si>
  <si>
    <t>Origen de los pesos</t>
  </si>
  <si>
    <t>Los pesos se asignan segun las restricciones de un CubeSat 1U y el alcance academico del laboratorio. Se priorizan energia, complejidad, riesgo tecnico y facilidad de prueba.</t>
  </si>
  <si>
    <t>Masa y volumen</t>
  </si>
  <si>
    <t>Considerar número de PCBs, conectores y circuitos extra.</t>
  </si>
  <si>
    <t>Criterios mas importantes</t>
  </si>
  <si>
    <t>Consumo de energia, complejidad de diseno y riesgo tecnico tienen mayor peso porque condicionan la viabilidad inicial, la integracion y la operacion con recursos limitados.</t>
  </si>
  <si>
    <t>Riesgo técnico</t>
  </si>
  <si>
    <t>Considerar punto único de falla y complejidad distribuida.</t>
  </si>
  <si>
    <t>Lectura del resultado</t>
  </si>
  <si>
    <t>La Alternativa A obtiene 3.80 y la Alternativa B obtiene 3.10. La diferencia indica que la arquitectura centralizada se ajusta mejor al alcance actual.</t>
  </si>
  <si>
    <t>Disponibilidad de componentes</t>
  </si>
  <si>
    <t>Revisar si los módulos y controladores son fáciles de conseguir.</t>
  </si>
  <si>
    <t>Decision</t>
  </si>
  <si>
    <t>Se selecciona la Alternativa A: arquitectura centralizada e integrada.</t>
  </si>
  <si>
    <t>Integridad de señal e interfaces</t>
  </si>
  <si>
    <t>Evaluar buses, conectores y rutas entre PCBs.</t>
  </si>
  <si>
    <t>Limitacion de la decision</t>
  </si>
  <si>
    <t>La Alternativa B no se descarta tecnicamente. Tiene ventajas en modularidad y escalabilidad, pero su mayor complejidad no compensa para esta etapa preliminar.</t>
  </si>
  <si>
    <t>Escalabilidad</t>
  </si>
  <si>
    <t>Valorar posibilidad de crecimiento o reemplazo de subsistemas.</t>
  </si>
  <si>
    <t>Puntaje total ponderado</t>
  </si>
  <si>
    <t>La alternativa A obtiene mayor puntaje ponderado. Se selecciona para el alcance actual por menor complejidad, menor consumo estimado y menor riesgo de integracion.</t>
  </si>
  <si>
    <t>Punto 9 - Interfaces principales de la arquitectura seleccionada</t>
  </si>
  <si>
    <t>Soporte preliminar basado en familias de componentes de referencia: MCU ARM Cortex-M, transceptor UHF tipo CC1120, camara OEM multiespectral, ADCS con magnetorquers, bateria 2S Li-Ion y reguladores DC-DC.</t>
  </si>
  <si>
    <t>Funcion</t>
  </si>
  <si>
    <t>Señal o protocolo</t>
  </si>
  <si>
    <t>Caracteristicas electricas preliminares</t>
  </si>
  <si>
    <t>Tasa o volumen de datos</t>
  </si>
  <si>
    <t>IF-01</t>
  </si>
  <si>
    <t>Alimentacion principal del OBC y logica de la PCB principal.</t>
  </si>
  <si>
    <t>Línea de potencia regulada</t>
  </si>
  <si>
    <t>Linea preliminar de 3.3 V o 5 V. Consumo de referencia: 150 mW nominal y 300 mW maximo.</t>
  </si>
  <si>
    <t>No aplica</t>
  </si>
  <si>
    <t>Valor basado en arquitectura con MCU ARM Cortex-M. Debe incluir margen de corriente y proteccion.</t>
  </si>
  <si>
    <t>IF-02</t>
  </si>
  <si>
    <t>Alimentacion de la camara durante adquisicion de imagenes.</t>
  </si>
  <si>
    <t>Linea preliminar de 5 V. Potencia maxima de referencia: 1500 mW durante captura.</t>
  </si>
  <si>
    <t>La alimentacion puede habilitarse solo durante adquisicion para reducir consumo energetico.</t>
  </si>
  <si>
    <t>IF-03</t>
  </si>
  <si>
    <t>Alimentacion del transceptor UHF y etapa de RF.</t>
  </si>
  <si>
    <t>Linea preliminar de 3.3 V para logica y posible 5 V para etapa RF. Consumo de referencia: 200 mW en Rx y 2000 mW en Tx.</t>
  </si>
  <si>
    <t>Basado en transceptor UHF tipo CC1120 con etapa de potencia externa. Revisar picos de transmision.</t>
  </si>
  <si>
    <t>IF-04</t>
  </si>
  <si>
    <t>Sistema de actitud</t>
  </si>
  <si>
    <t>Alimentacion de sensores, actuadores y drivers.</t>
  </si>
  <si>
    <t>3.3 V para sensores y logica; 5 V o bus dedicado para magnetorquers/drivers. Potencia maxima de referencia: 1000 mW.</t>
  </si>
  <si>
    <t>Los actuadores pueden generar picos de corriente y ruido electrico.</t>
  </si>
  <si>
    <t>IF-05</t>
  </si>
  <si>
    <t>Alimentacion de memoria no volatil.</t>
  </si>
  <si>
    <t>Linea preliminar de 3.3 V, coherente con memorias SPI/SD y electronica digital.</t>
  </si>
  <si>
    <t>Debe garantizar escritura segura de imagenes, telemetria y eventos.</t>
  </si>
  <si>
    <t>IF-06</t>
  </si>
  <si>
    <t>Alimentacion de sensores electricos y termicos.</t>
  </si>
  <si>
    <t>Linea preliminar de 3.3 V o 5 V segun sensores seleccionados.</t>
  </si>
  <si>
    <t>Puede integrarse en PCB principal, PCB de potencia o modulo de supervision.</t>
  </si>
  <si>
    <t>IF-07</t>
  </si>
  <si>
    <t>Configurar camara, iniciar captura y seleccionar parametros.</t>
  </si>
  <si>
    <t>I2C, SPI, UART o GPIO TBD</t>
  </si>
  <si>
    <t>Nivel logico preliminar de 3.3 V.</t>
  </si>
  <si>
    <t>Baja para comandos</t>
  </si>
  <si>
    <t>La interfaz exacta depende del modulo de camara seleccionado.</t>
  </si>
  <si>
    <t>IF-08</t>
  </si>
  <si>
    <t>Transferencia de datos de imagen desde la camara hacia el OBC.</t>
  </si>
  <si>
    <t>SPI, paralelo, MIPI o interfaz TBD</t>
  </si>
  <si>
    <t>Nivel logico preliminar de 3.3 V; puede requerir acondicionamiento si la camara usa otro estandar.</t>
  </si>
  <si>
    <t>Alta; del orden de MB por adquisicion multibanda.</t>
  </si>
  <si>
    <t>Interfaz critica para datos y almacenamiento. Revisar resolucion, bandas y profundidad de bits.</t>
  </si>
  <si>
    <t>IF-09</t>
  </si>
  <si>
    <t>Escribir y leer imagenes, telemetria y eventos.</t>
  </si>
  <si>
    <t>SPI, SDIO o interfaz TBD</t>
  </si>
  <si>
    <t>Media/alta, segun volumen de imagenes.</t>
  </si>
  <si>
    <t>Debe soportar memoria no volatil confiable y escritura durante ventanas de adquisicion.</t>
  </si>
  <si>
    <t>IF-10</t>
  </si>
  <si>
    <t>Enviar paquetes de telemetria, datos de mision y respuestas a comandos.</t>
  </si>
  <si>
    <t>UART, SPI o bus interno TBD</t>
  </si>
  <si>
    <t>Limitada por enlace UHF, del orden de kbps.</t>
  </si>
  <si>
    <t>Adecuada para telemetria y comandos. Puede ser insuficiente para descarga frecuente de imagenes.</t>
  </si>
  <si>
    <t>IF-11</t>
  </si>
  <si>
    <t>Entregar comandos recibidos y estado del enlace.</t>
  </si>
  <si>
    <t>Baja para comandos y telemetria.</t>
  </si>
  <si>
    <t>Los comandos deben validarse por el software futuro.</t>
  </si>
  <si>
    <t>IF-12</t>
  </si>
  <si>
    <t>Transmitir telemetria y datos de mision por enlace inalambrico.</t>
  </si>
  <si>
    <t>Enlace RF, banda TBD</t>
  </si>
  <si>
    <t>Frecuencia y potencia RF sujetas a regulacion. Potencia electrica de referencia en Tx: 2000 mW.</t>
  </si>
  <si>
    <t>Del orden de kbps para UHF.</t>
  </si>
  <si>
    <t>Si se requiere descarga intensiva de imagenes, podria evaluarse un enlace de mayor tasa en una etapa posterior.</t>
  </si>
  <si>
    <t>IF-13</t>
  </si>
  <si>
    <t>Enviar comandos de operacion y configuracion hacia el satelite.</t>
  </si>
  <si>
    <t>Sensibilidad del receptor, antena y potencia recibida TBD.</t>
  </si>
  <si>
    <t>Baja</t>
  </si>
  <si>
    <t>La estacion terrestre no se conecta directamente al OBC; la comunicacion pasa por el subsistema RF.</t>
  </si>
  <si>
    <t>IF-14</t>
  </si>
  <si>
    <t>Enviar mediciones para estimacion de orientacion.</t>
  </si>
  <si>
    <t>I2C, SPI, ADC o GPIO TBD</t>
  </si>
  <si>
    <t>Baja a media</t>
  </si>
  <si>
    <t>Incluye magnetometro, giroscopio, sensores solares u otros sensores definidos.</t>
  </si>
  <si>
    <t>IF-15</t>
  </si>
  <si>
    <t>Actuadores de actitud</t>
  </si>
  <si>
    <t>Enviar senales de control para estabilizacion u orientacion.</t>
  </si>
  <si>
    <t>PWM, GPIO, driver o bus TBD</t>
  </si>
  <si>
    <t>Senal logica preliminar de 3.3 V hacia drivers; potencia de actuadores desde linea dedicada.</t>
  </si>
  <si>
    <t>Requiere drivers adecuados para magnetorquers u otros actuadores seleccionados.</t>
  </si>
  <si>
    <t>IF-16</t>
  </si>
  <si>
    <t>Reportar telemetria electrica y alertas de estado.</t>
  </si>
  <si>
    <t>I2C, ADC, GPIO o bus TBD</t>
  </si>
  <si>
    <t>Nivel logico preliminar de 3.3 V. Bateria de referencia: paquete 2S Li-Ion con regulacion DC-DC.</t>
  </si>
  <si>
    <t>Incluye voltaje, corriente, estado de bateria, protecciones y alertas de bajo voltaje o sobrecorriente.</t>
  </si>
  <si>
    <t>IF-17</t>
  </si>
  <si>
    <t>Reportar temperatura, variables electricas y diagnostico.</t>
  </si>
  <si>
    <t>Permite limitar operaciones no seguras, especialmente en bateria, camara, OBC y RF.</t>
  </si>
  <si>
    <t>IF-18</t>
  </si>
  <si>
    <t>Configurar sensores, frecuencia de muestreo o umbrales si aplica.</t>
  </si>
  <si>
    <t>I2C, GPIO o bus TBD</t>
  </si>
  <si>
    <t>Solo aplica si los sensores o ADCs requieren configuracion desde el OBC.</t>
  </si>
  <si>
    <t>Subsistema</t>
  </si>
  <si>
    <t>Potencia nominal (mW)</t>
  </si>
  <si>
    <t>Potencia máxima (mW)</t>
  </si>
  <si>
    <t>Ciclo de actividad estimado</t>
  </si>
  <si>
    <t>Energía por órbita (mWh)</t>
  </si>
  <si>
    <t>Masa estimada (g)</t>
  </si>
  <si>
    <t>Volumen asignado (cm3)</t>
  </si>
  <si>
    <t>Fuente de la estimación</t>
  </si>
  <si>
    <t>PCB Principal (OBC y Memoria)</t>
  </si>
  <si>
    <t>9x9x1</t>
  </si>
  <si>
    <t>Consumo típico MCU ARM Cortex-M.</t>
  </si>
  <si>
    <t>Módulo de comunicaciones</t>
  </si>
  <si>
    <t>200 (Rx)</t>
  </si>
  <si>
    <t>2000 (Tx)</t>
  </si>
  <si>
    <t>10% (Paso por estación)</t>
  </si>
  <si>
    <t>Transceptor UHF (ej. CC1120).</t>
  </si>
  <si>
    <t>Carga útil (Cámara)</t>
  </si>
  <si>
    <t>0 (Reposo)</t>
  </si>
  <si>
    <t>112.5</t>
  </si>
  <si>
    <t>5x5x4</t>
  </si>
  <si>
    <t>Módulo OEM multiespectral compacto.</t>
  </si>
  <si>
    <t>Módulo ADCS</t>
  </si>
  <si>
    <t>9x9x2</t>
  </si>
  <si>
    <t>Consumo con bobinas (magnetorquers) activas.</t>
  </si>
  <si>
    <t>PCB de Potencia (Batería y EPS)</t>
  </si>
  <si>
    <t>100 (Pérdidas)</t>
  </si>
  <si>
    <t>9x9x3</t>
  </si>
  <si>
    <t>Paquete 2S Li-Ion y reguladores DC-DC.</t>
  </si>
  <si>
    <t>Estructura y cableado</t>
  </si>
  <si>
    <t>N/A</t>
  </si>
  <si>
    <t>Restante</t>
  </si>
  <si>
    <t>Chasis de aluminio CubeSat 1U.</t>
  </si>
  <si>
    <t>Total Estimado</t>
  </si>
  <si>
    <t>-</t>
  </si>
  <si>
    <t>997.5</t>
  </si>
  <si>
    <t>&lt;= 1000</t>
  </si>
  <si>
    <t>Fuente de datos</t>
  </si>
  <si>
    <t>Datos por adquisición</t>
  </si>
  <si>
    <t>Adqu. estimadas (diarias)</t>
  </si>
  <si>
    <t>Volumen acumulado (diario)</t>
  </si>
  <si>
    <t>Almac. requerido</t>
  </si>
  <si>
    <t>Tasa mínima de transferencia</t>
  </si>
  <si>
    <t>Cámara multiespectral</t>
  </si>
  <si>
    <t>~ 5 MB (Estimación: 3 bandas, compresión moderada)</t>
  </si>
  <si>
    <t>50 MB</t>
  </si>
  <si>
    <t>&gt;= 16 GB (ET-04) permite meses de autonomía sin enlace.</t>
  </si>
  <si>
    <t>&gt;= 666 kbps (Asumiendo ventana de 10 min/día)</t>
  </si>
  <si>
    <t>Telemetría y Estado</t>
  </si>
  <si>
    <t>~ 50 KB</t>
  </si>
  <si>
    <t>24 (1 por hora)</t>
  </si>
  <si>
    <t>1.2 MB</t>
  </si>
  <si>
    <t>Compartido con OBC</t>
  </si>
  <si>
    <t>&gt;= 16 kbps</t>
  </si>
  <si>
    <t>Fuentes técnicas consultadas</t>
  </si>
  <si>
    <t>Registrar hojas de datos, normas, documentos técnicos y enlaces usados para justificar decisiones.</t>
  </si>
  <si>
    <t>Fabricante/Autor</t>
  </si>
  <si>
    <t>Referencia o documento</t>
  </si>
  <si>
    <t>Enlace</t>
  </si>
  <si>
    <t>Decisión que soporta</t>
  </si>
  <si>
    <t>F-01</t>
  </si>
  <si>
    <t>Guía de laboratorio</t>
  </si>
  <si>
    <t>Universidad de Antioquia</t>
  </si>
  <si>
    <t>Práctica 3 - CubeSat UD34</t>
  </si>
  <si>
    <t>Alcance, entregables y criterios.</t>
  </si>
  <si>
    <t>Usada</t>
  </si>
  <si>
    <t>F-02</t>
  </si>
  <si>
    <t>GomSpace</t>
  </si>
  <si>
    <t>NanoCam C1U Datasheet</t>
  </si>
  <si>
    <t>https://www.scribd.com/document/489862494/gs-ds-nanocam-c1u-17</t>
  </si>
  <si>
    <t>Carga útil, datos por adquisición.</t>
  </si>
  <si>
    <t>F-03</t>
  </si>
  <si>
    <t>Transceptor</t>
  </si>
  <si>
    <t>Texas Instruments</t>
  </si>
  <si>
    <t>CC1120 High-Performance RF Transceiver for Narrowband Systems (Rev. H)</t>
  </si>
  <si>
    <t>https://www.ti.com/product/CC1120/part-details/CC1120RHBR</t>
  </si>
  <si>
    <t>Comunicaciones y tasa de datos.</t>
  </si>
  <si>
    <t>F-04</t>
  </si>
  <si>
    <t>Batería/EPS</t>
  </si>
  <si>
    <t>NanoPower P80 EPS Datasheet</t>
  </si>
  <si>
    <t>https://gomspace.com/wp-content/uploads/2025/09/Data-Sheet-NanoPower-P80.pdf</t>
  </si>
  <si>
    <t>Presupuesto de potencia.</t>
  </si>
  <si>
    <t>F-05</t>
  </si>
  <si>
    <t>ADCS</t>
  </si>
  <si>
    <t>CubeSpace</t>
  </si>
  <si>
    <t>CubeADCS Y-Momentum Datasheet</t>
  </si>
  <si>
    <t>https://www.cubesatshop.com/wp-content/uploads/2016/06/CubeADCS-Y-Momentum-Option-Sheet-v1.3.pdf</t>
  </si>
  <si>
    <t>Sensores y actuadores de orientación.</t>
  </si>
  <si>
    <t>F-06</t>
  </si>
  <si>
    <t>Estándar de diseño</t>
  </si>
  <si>
    <t>Cal Poly CubeSat Program</t>
  </si>
  <si>
    <t>CubeSat Design Specification (CDS) Rev. 14.1</t>
  </si>
  <si>
    <t>https://www.cubesat.org/s/cds-rev14_1.pdf</t>
  </si>
  <si>
    <t>Límites del sistema y restricciones físicas.</t>
  </si>
  <si>
    <t>F-07</t>
  </si>
  <si>
    <t>Requisitos ambientales</t>
  </si>
  <si>
    <t>NASA Ames Research Center</t>
  </si>
  <si>
    <t>State-of-the-Art Small Spacecraft Technology (2023)</t>
  </si>
  <si>
    <t>https://www.nasa.gov/smallsat-institute/sst-soa/</t>
  </si>
  <si>
    <t>Rango de temperatura y ciclos térmicos.</t>
  </si>
  <si>
    <t>F-08</t>
  </si>
  <si>
    <t>Normativa de RF</t>
  </si>
  <si>
    <t>Unión Internacional de Telecomunicaciones (UIT)</t>
  </si>
  <si>
    <t>ITU Radio Regulations - Space Services</t>
  </si>
  <si>
    <t>https://www.itu.int/en/ITU-R/space/Pages/default.aspx</t>
  </si>
  <si>
    <t>Rango de 435 a 438 MHz para LEO UHF.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</si>
</sst>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4"/>
      <color rgb="FF172033"/>
      <name val="Arial"/>
    </font>
    <font>
      <i/>
      <sz val="10"/>
      <color rgb="FF516070"/>
      <name val="Arial"/>
    </font>
    <font>
      <sz val="10"/>
      <color rgb="FF172033"/>
      <name val="Arial"/>
    </font>
    <font>
      <b/>
      <sz val="10"/>
      <color rgb="FFFFFFFF"/>
      <name val="Arial"/>
    </font>
    <font>
      <b/>
      <sz val="10"/>
      <color rgb="FF172033"/>
      <name val="Arial"/>
    </font>
    <font>
      <b/>
      <sz val="12"/>
      <color rgb="FF172033"/>
      <name val="Arial"/>
    </font>
    <font>
      <u/>
      <sz val="11"/>
      <color theme="10"/>
      <name val="Carlito"/>
    </font>
    <font>
      <u/>
      <sz val="11"/>
      <name val="Carlito"/>
    </font>
    <font>
      <i/>
      <sz val="10"/>
      <color rgb="FF5B677A"/>
      <name val="Arial"/>
    </font>
  </fonts>
  <fills count="8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3F6FA"/>
      </patternFill>
    </fill>
    <fill>
      <patternFill patternType="solid">
        <fgColor rgb="FFFFF2CC"/>
      </patternFill>
    </fill>
    <fill>
      <patternFill patternType="solid">
        <fgColor rgb="FF1F4E78"/>
        <bgColor rgb="FF000000"/>
      </patternFill>
    </fill>
    <fill>
      <patternFill patternType="solid">
        <fgColor rgb="FFF3F6FA"/>
        <bgColor rgb="FF000000"/>
      </patternFill>
    </fill>
  </fills>
  <borders count="3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 style="thin">
        <color rgb="FFD9E2EC"/>
      </right>
      <top/>
      <bottom style="thin">
        <color rgb="FFD9E2EC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  <xf numFmtId="0" fontId="3" fillId="0" borderId="0" xfId="0" applyFont="1" applyAlignment="1">
      <alignment wrapText="1"/>
    </xf>
    <xf numFmtId="1" fontId="3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6" fillId="2" borderId="0" xfId="0" applyFont="1" applyFill="1"/>
    <xf numFmtId="0" fontId="4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2" fontId="5" fillId="5" borderId="1" xfId="0" applyNumberFormat="1" applyFont="1" applyFill="1" applyBorder="1" applyAlignment="1">
      <alignment vertical="center" wrapText="1"/>
    </xf>
    <xf numFmtId="0" fontId="7" fillId="0" borderId="1" xfId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8" fillId="0" borderId="0" xfId="0" applyFont="1"/>
    <xf numFmtId="0" fontId="4" fillId="3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Fill="1" applyBorder="1" applyAlignment="1"/>
    <xf numFmtId="0" fontId="9" fillId="0" borderId="0" xfId="0" applyFont="1" applyFill="1" applyBorder="1" applyAlignment="1"/>
    <xf numFmtId="0" fontId="0" fillId="0" borderId="0" xfId="0" applyFont="1" applyFill="1" applyBorder="1" applyAlignment="1"/>
    <xf numFmtId="0" fontId="4" fillId="6" borderId="1" xfId="0" applyFont="1" applyFill="1" applyBorder="1" applyAlignment="1">
      <alignment wrapText="1"/>
    </xf>
    <xf numFmtId="0" fontId="5" fillId="7" borderId="2" xfId="0" applyFont="1" applyFill="1" applyBorder="1" applyAlignment="1">
      <alignment wrapText="1"/>
    </xf>
    <xf numFmtId="0" fontId="3" fillId="0" borderId="2" xfId="0" applyFont="1" applyFill="1" applyBorder="1" applyAlignment="1">
      <alignment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gomspace.com/wp-content/uploads/2025/09/Data-Sheet-NanoPower-P80.pdf" TargetMode="External"/><Relationship Id="rId7" Type="http://schemas.openxmlformats.org/officeDocument/2006/relationships/hyperlink" Target="https://www.itu.int/en/ITU-R/space/Pages/default.aspx" TargetMode="External"/><Relationship Id="rId2" Type="http://schemas.openxmlformats.org/officeDocument/2006/relationships/hyperlink" Target="https://www.ti.com/product/CC1120/part-details/CC1120RHBR" TargetMode="External"/><Relationship Id="rId1" Type="http://schemas.openxmlformats.org/officeDocument/2006/relationships/hyperlink" Target="https://www.scribd.com/document/489862494/gs-ds-nanocam-c1u-17" TargetMode="External"/><Relationship Id="rId6" Type="http://schemas.openxmlformats.org/officeDocument/2006/relationships/hyperlink" Target="https://www.nasa.gov/smallsat-institute/sst-soa/" TargetMode="External"/><Relationship Id="rId5" Type="http://schemas.openxmlformats.org/officeDocument/2006/relationships/hyperlink" Target="https://www.cubesat.org/s/cds-rev14_1.pdf" TargetMode="External"/><Relationship Id="rId4" Type="http://schemas.openxmlformats.org/officeDocument/2006/relationships/hyperlink" Target="https://www.cubesatshop.com/wp-content/uploads/2016/06/CubeADCS-Y-Momentum-Option-Sheet-v1.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E14"/>
  <sheetViews>
    <sheetView showGridLines="0" workbookViewId="0">
      <pane ySplit="4" topLeftCell="A5" activePane="bottomLeft" state="frozen"/>
      <selection pane="bottomLeft"/>
    </sheetView>
  </sheetViews>
  <sheetFormatPr defaultColWidth="8.75" defaultRowHeight="13.9"/>
  <cols>
    <col min="1" max="1" width="24" customWidth="1"/>
    <col min="2" max="2" width="72" customWidth="1"/>
    <col min="3" max="3" width="38" customWidth="1"/>
    <col min="5" max="5" width="45" customWidth="1"/>
  </cols>
  <sheetData>
    <row r="1" spans="1:5" ht="17.45">
      <c r="A1" s="1" t="s">
        <v>0</v>
      </c>
    </row>
    <row r="2" spans="1:5">
      <c r="A2" s="2" t="s">
        <v>1</v>
      </c>
    </row>
    <row r="4" spans="1:5" ht="72" customHeight="1">
      <c r="A4" s="9" t="s">
        <v>2</v>
      </c>
      <c r="B4" s="9" t="s">
        <v>3</v>
      </c>
      <c r="C4" s="9" t="s">
        <v>4</v>
      </c>
      <c r="E4" s="5"/>
    </row>
    <row r="5" spans="1:5">
      <c r="A5" s="3" t="s">
        <v>5</v>
      </c>
      <c r="B5" s="3" t="s">
        <v>6</v>
      </c>
      <c r="C5" s="3" t="s">
        <v>7</v>
      </c>
    </row>
    <row r="6" spans="1:5">
      <c r="A6" s="3" t="s">
        <v>8</v>
      </c>
      <c r="B6" s="3" t="s">
        <v>9</v>
      </c>
      <c r="C6" s="3" t="s">
        <v>10</v>
      </c>
    </row>
    <row r="7" spans="1:5">
      <c r="A7" s="3" t="s">
        <v>11</v>
      </c>
      <c r="B7" s="3" t="s">
        <v>12</v>
      </c>
      <c r="C7" s="3" t="s">
        <v>13</v>
      </c>
    </row>
    <row r="8" spans="1:5">
      <c r="A8" s="3" t="s">
        <v>14</v>
      </c>
      <c r="B8" s="3" t="s">
        <v>15</v>
      </c>
      <c r="C8" s="3" t="s">
        <v>16</v>
      </c>
    </row>
    <row r="9" spans="1:5">
      <c r="A9" s="3" t="s">
        <v>17</v>
      </c>
      <c r="B9" s="3" t="s">
        <v>18</v>
      </c>
      <c r="C9" s="3" t="s">
        <v>19</v>
      </c>
    </row>
    <row r="10" spans="1:5">
      <c r="A10" s="3" t="s">
        <v>20</v>
      </c>
      <c r="B10" s="3" t="s">
        <v>21</v>
      </c>
      <c r="C10" s="3" t="s">
        <v>22</v>
      </c>
    </row>
    <row r="11" spans="1:5">
      <c r="A11" s="3" t="s">
        <v>23</v>
      </c>
      <c r="B11" s="3" t="s">
        <v>24</v>
      </c>
      <c r="C11" s="3" t="s">
        <v>25</v>
      </c>
    </row>
    <row r="12" spans="1:5">
      <c r="A12" s="3" t="s">
        <v>26</v>
      </c>
      <c r="B12" s="3" t="s">
        <v>27</v>
      </c>
      <c r="C12" s="3" t="s">
        <v>28</v>
      </c>
    </row>
    <row r="13" spans="1:5">
      <c r="A13" s="3" t="s">
        <v>29</v>
      </c>
      <c r="B13" s="3" t="s">
        <v>30</v>
      </c>
      <c r="C13" s="3" t="s">
        <v>31</v>
      </c>
    </row>
    <row r="14" spans="1:5">
      <c r="A14" s="3" t="s">
        <v>32</v>
      </c>
      <c r="B14" s="3" t="s">
        <v>33</v>
      </c>
      <c r="C14" s="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7582E-468E-4D2C-A60B-458D4FAD7CF4}">
  <sheetPr>
    <tabColor theme="5" tint="-0.249977111117893"/>
  </sheetPr>
  <dimension ref="A1:F13"/>
  <sheetViews>
    <sheetView showGridLines="0" workbookViewId="0">
      <selection activeCell="I5" sqref="I5"/>
    </sheetView>
  </sheetViews>
  <sheetFormatPr defaultRowHeight="14.25"/>
  <cols>
    <col min="3" max="3" width="34.75" customWidth="1"/>
    <col min="4" max="4" width="16" customWidth="1"/>
    <col min="6" max="6" width="94.25" bestFit="1" customWidth="1"/>
  </cols>
  <sheetData>
    <row r="1" spans="1:6" ht="36">
      <c r="A1" s="9" t="s">
        <v>35</v>
      </c>
      <c r="B1" s="9" t="s">
        <v>36</v>
      </c>
      <c r="C1" s="9" t="s">
        <v>37</v>
      </c>
      <c r="D1" s="9" t="s">
        <v>38</v>
      </c>
      <c r="E1" s="9" t="s">
        <v>39</v>
      </c>
      <c r="F1" s="9" t="s">
        <v>40</v>
      </c>
    </row>
    <row r="2" spans="1:6" ht="36">
      <c r="A2" s="3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</row>
    <row r="3" spans="1:6" ht="36">
      <c r="A3" s="3" t="s">
        <v>47</v>
      </c>
      <c r="B3" s="3" t="s">
        <v>42</v>
      </c>
      <c r="C3" s="3" t="s">
        <v>48</v>
      </c>
      <c r="D3" s="3" t="s">
        <v>49</v>
      </c>
      <c r="E3" s="3" t="s">
        <v>45</v>
      </c>
      <c r="F3" s="3" t="s">
        <v>50</v>
      </c>
    </row>
    <row r="4" spans="1:6" ht="36">
      <c r="A4" s="3" t="s">
        <v>51</v>
      </c>
      <c r="B4" s="3" t="s">
        <v>42</v>
      </c>
      <c r="C4" s="3" t="s">
        <v>52</v>
      </c>
      <c r="D4" s="3" t="s">
        <v>53</v>
      </c>
      <c r="E4" s="3" t="s">
        <v>45</v>
      </c>
      <c r="F4" s="3" t="s">
        <v>54</v>
      </c>
    </row>
    <row r="5" spans="1:6" ht="142.5">
      <c r="A5" s="3" t="s">
        <v>55</v>
      </c>
      <c r="B5" s="3" t="s">
        <v>42</v>
      </c>
      <c r="C5" s="3" t="s">
        <v>56</v>
      </c>
      <c r="D5" s="3" t="s">
        <v>57</v>
      </c>
      <c r="E5" s="3" t="s">
        <v>45</v>
      </c>
      <c r="F5" s="3" t="s">
        <v>58</v>
      </c>
    </row>
    <row r="6" spans="1:6" ht="130.5">
      <c r="A6" s="3" t="s">
        <v>59</v>
      </c>
      <c r="B6" s="3" t="s">
        <v>60</v>
      </c>
      <c r="C6" s="3" t="s">
        <v>61</v>
      </c>
      <c r="D6" s="3" t="s">
        <v>62</v>
      </c>
      <c r="E6" s="3" t="s">
        <v>45</v>
      </c>
      <c r="F6" s="3" t="s">
        <v>63</v>
      </c>
    </row>
    <row r="7" spans="1:6" ht="166.5">
      <c r="A7" s="3" t="s">
        <v>64</v>
      </c>
      <c r="B7" s="3" t="s">
        <v>60</v>
      </c>
      <c r="C7" s="3" t="s">
        <v>65</v>
      </c>
      <c r="D7" s="3" t="s">
        <v>66</v>
      </c>
      <c r="E7" s="3" t="s">
        <v>45</v>
      </c>
      <c r="F7" s="3" t="s">
        <v>67</v>
      </c>
    </row>
    <row r="8" spans="1:6" ht="166.5">
      <c r="A8" s="3" t="s">
        <v>68</v>
      </c>
      <c r="B8" s="3" t="s">
        <v>60</v>
      </c>
      <c r="C8" s="3" t="s">
        <v>69</v>
      </c>
      <c r="D8" s="3" t="s">
        <v>70</v>
      </c>
      <c r="E8" s="3" t="s">
        <v>45</v>
      </c>
      <c r="F8" s="3" t="s">
        <v>71</v>
      </c>
    </row>
    <row r="9" spans="1:6" ht="154.5">
      <c r="A9" s="3" t="s">
        <v>72</v>
      </c>
      <c r="B9" s="3" t="s">
        <v>73</v>
      </c>
      <c r="C9" s="3" t="s">
        <v>74</v>
      </c>
      <c r="D9" s="3" t="s">
        <v>75</v>
      </c>
      <c r="E9" s="3" t="s">
        <v>76</v>
      </c>
      <c r="F9" s="3" t="s">
        <v>77</v>
      </c>
    </row>
    <row r="10" spans="1:6" ht="166.5">
      <c r="A10" s="3" t="s">
        <v>78</v>
      </c>
      <c r="B10" s="3" t="s">
        <v>73</v>
      </c>
      <c r="C10" s="3" t="s">
        <v>79</v>
      </c>
      <c r="D10" s="3" t="s">
        <v>80</v>
      </c>
      <c r="E10" s="3" t="s">
        <v>45</v>
      </c>
      <c r="F10" s="3" t="s">
        <v>81</v>
      </c>
    </row>
    <row r="11" spans="1:6" ht="142.5">
      <c r="A11" s="3" t="s">
        <v>82</v>
      </c>
      <c r="B11" s="3" t="s">
        <v>73</v>
      </c>
      <c r="C11" s="3" t="s">
        <v>83</v>
      </c>
      <c r="D11" s="3" t="s">
        <v>84</v>
      </c>
      <c r="E11" s="3" t="s">
        <v>76</v>
      </c>
      <c r="F11" s="3" t="s">
        <v>85</v>
      </c>
    </row>
    <row r="12" spans="1:6" ht="154.5">
      <c r="A12" s="3" t="s">
        <v>86</v>
      </c>
      <c r="B12" s="3" t="s">
        <v>87</v>
      </c>
      <c r="C12" s="3" t="s">
        <v>88</v>
      </c>
      <c r="D12" s="3" t="s">
        <v>89</v>
      </c>
      <c r="E12" s="3" t="s">
        <v>45</v>
      </c>
      <c r="F12" s="3" t="s">
        <v>90</v>
      </c>
    </row>
    <row r="13" spans="1:6" ht="166.5">
      <c r="A13" s="3" t="s">
        <v>91</v>
      </c>
      <c r="B13" s="3" t="s">
        <v>87</v>
      </c>
      <c r="C13" s="3" t="s">
        <v>92</v>
      </c>
      <c r="D13" s="3" t="s">
        <v>93</v>
      </c>
      <c r="E13" s="3" t="s">
        <v>45</v>
      </c>
      <c r="F13" s="3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F4B8A-46C1-4702-B84D-4E1D9E4A4D51}">
  <sheetPr>
    <tabColor rgb="FF0070C0"/>
  </sheetPr>
  <dimension ref="A1:C6"/>
  <sheetViews>
    <sheetView showGridLines="0" workbookViewId="0">
      <selection activeCell="F20" sqref="F20"/>
    </sheetView>
  </sheetViews>
  <sheetFormatPr defaultRowHeight="14.25"/>
  <cols>
    <col min="1" max="1" width="30.75" customWidth="1"/>
    <col min="3" max="3" width="47.25" customWidth="1"/>
  </cols>
  <sheetData>
    <row r="1" spans="1:3">
      <c r="A1" s="9" t="s">
        <v>95</v>
      </c>
      <c r="B1" s="9" t="s">
        <v>96</v>
      </c>
      <c r="C1" s="9" t="s">
        <v>97</v>
      </c>
    </row>
    <row r="2" spans="1:3" ht="72">
      <c r="A2" s="3" t="s">
        <v>98</v>
      </c>
      <c r="B2" s="3" t="s">
        <v>99</v>
      </c>
      <c r="C2" s="3" t="s">
        <v>100</v>
      </c>
    </row>
    <row r="3" spans="1:3" ht="60">
      <c r="A3" s="3" t="s">
        <v>101</v>
      </c>
      <c r="B3" s="3" t="s">
        <v>99</v>
      </c>
      <c r="C3" s="3" t="s">
        <v>102</v>
      </c>
    </row>
    <row r="4" spans="1:3" ht="48">
      <c r="A4" s="3" t="s">
        <v>103</v>
      </c>
      <c r="B4" s="3" t="s">
        <v>99</v>
      </c>
      <c r="C4" s="3" t="s">
        <v>104</v>
      </c>
    </row>
    <row r="5" spans="1:3" ht="48">
      <c r="A5" s="3" t="s">
        <v>105</v>
      </c>
      <c r="B5" s="3" t="s">
        <v>99</v>
      </c>
      <c r="C5" s="3" t="s">
        <v>106</v>
      </c>
    </row>
    <row r="6" spans="1:3" ht="48">
      <c r="A6" s="3" t="s">
        <v>107</v>
      </c>
      <c r="B6" s="3" t="s">
        <v>99</v>
      </c>
      <c r="C6" s="3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760E4-D90F-487C-B365-21DBC627AD2B}">
  <sheetPr>
    <tabColor theme="5" tint="-0.249977111117893"/>
  </sheetPr>
  <dimension ref="A1:G9"/>
  <sheetViews>
    <sheetView showGridLines="0" topLeftCell="A6" workbookViewId="0">
      <selection activeCell="A10" sqref="A10:XFD13"/>
    </sheetView>
  </sheetViews>
  <sheetFormatPr defaultRowHeight="14.25"/>
  <cols>
    <col min="3" max="3" width="34.75" customWidth="1"/>
    <col min="4" max="4" width="16" customWidth="1"/>
    <col min="6" max="6" width="94.25" bestFit="1" customWidth="1"/>
    <col min="7" max="7" width="56.375" customWidth="1"/>
  </cols>
  <sheetData>
    <row r="1" spans="1:7" ht="60">
      <c r="A1" s="9" t="s">
        <v>109</v>
      </c>
      <c r="B1" s="9" t="s">
        <v>110</v>
      </c>
      <c r="C1" s="9" t="s">
        <v>111</v>
      </c>
      <c r="D1" s="9" t="s">
        <v>112</v>
      </c>
      <c r="E1" s="9" t="s">
        <v>113</v>
      </c>
      <c r="F1" s="9" t="s">
        <v>114</v>
      </c>
      <c r="G1" s="9" t="s">
        <v>115</v>
      </c>
    </row>
    <row r="2" spans="1:7" ht="60">
      <c r="A2" s="3" t="s">
        <v>116</v>
      </c>
      <c r="B2" s="3" t="s">
        <v>117</v>
      </c>
      <c r="C2" s="3" t="s">
        <v>118</v>
      </c>
      <c r="D2" s="3" t="s">
        <v>119</v>
      </c>
      <c r="E2" s="3" t="s">
        <v>120</v>
      </c>
      <c r="F2" s="3" t="s">
        <v>121</v>
      </c>
      <c r="G2" s="3" t="s">
        <v>122</v>
      </c>
    </row>
    <row r="3" spans="1:7" ht="60">
      <c r="A3" s="3" t="s">
        <v>123</v>
      </c>
      <c r="B3" s="3" t="s">
        <v>124</v>
      </c>
      <c r="C3" s="3" t="s">
        <v>125</v>
      </c>
      <c r="D3" s="3" t="s">
        <v>126</v>
      </c>
      <c r="E3" s="3" t="s">
        <v>120</v>
      </c>
      <c r="F3" s="3" t="s">
        <v>127</v>
      </c>
      <c r="G3" s="3" t="s">
        <v>128</v>
      </c>
    </row>
    <row r="4" spans="1:7" ht="60">
      <c r="A4" s="3" t="s">
        <v>129</v>
      </c>
      <c r="B4" s="3" t="s">
        <v>59</v>
      </c>
      <c r="C4" s="3" t="s">
        <v>130</v>
      </c>
      <c r="D4" s="3" t="s">
        <v>131</v>
      </c>
      <c r="E4" s="3" t="s">
        <v>132</v>
      </c>
      <c r="F4" s="3" t="s">
        <v>133</v>
      </c>
      <c r="G4" s="3" t="s">
        <v>134</v>
      </c>
    </row>
    <row r="5" spans="1:7" ht="84">
      <c r="A5" s="3" t="s">
        <v>135</v>
      </c>
      <c r="B5" s="3" t="s">
        <v>41</v>
      </c>
      <c r="C5" s="3" t="s">
        <v>136</v>
      </c>
      <c r="D5" s="3" t="s">
        <v>137</v>
      </c>
      <c r="E5" s="3" t="s">
        <v>138</v>
      </c>
      <c r="F5" s="3" t="s">
        <v>139</v>
      </c>
      <c r="G5" s="3" t="s">
        <v>140</v>
      </c>
    </row>
    <row r="6" spans="1:7" ht="72">
      <c r="A6" s="3" t="s">
        <v>141</v>
      </c>
      <c r="B6" s="3" t="s">
        <v>142</v>
      </c>
      <c r="C6" s="3" t="s">
        <v>143</v>
      </c>
      <c r="D6" s="3" t="s">
        <v>144</v>
      </c>
      <c r="E6" s="3" t="s">
        <v>145</v>
      </c>
      <c r="F6" s="3" t="s">
        <v>146</v>
      </c>
      <c r="G6" s="3" t="s">
        <v>147</v>
      </c>
    </row>
    <row r="7" spans="1:7" ht="60">
      <c r="A7" s="3" t="s">
        <v>148</v>
      </c>
      <c r="B7" s="3" t="s">
        <v>47</v>
      </c>
      <c r="C7" s="3" t="s">
        <v>149</v>
      </c>
      <c r="D7" s="3" t="s">
        <v>150</v>
      </c>
      <c r="E7" s="3" t="s">
        <v>151</v>
      </c>
      <c r="F7" s="3" t="s">
        <v>152</v>
      </c>
      <c r="G7" s="3" t="s">
        <v>153</v>
      </c>
    </row>
    <row r="8" spans="1:7" ht="118.5">
      <c r="A8" s="3" t="s">
        <v>154</v>
      </c>
      <c r="B8" s="3" t="s">
        <v>72</v>
      </c>
      <c r="C8" s="3" t="s">
        <v>155</v>
      </c>
      <c r="D8" s="3" t="s">
        <v>156</v>
      </c>
      <c r="E8" s="3" t="s">
        <v>157</v>
      </c>
      <c r="F8" s="3" t="s">
        <v>158</v>
      </c>
      <c r="G8" s="3" t="s">
        <v>159</v>
      </c>
    </row>
    <row r="9" spans="1:7" ht="72">
      <c r="A9" s="3" t="s">
        <v>160</v>
      </c>
      <c r="B9" s="3" t="s">
        <v>161</v>
      </c>
      <c r="C9" s="3" t="s">
        <v>162</v>
      </c>
      <c r="D9" s="3" t="s">
        <v>163</v>
      </c>
      <c r="E9" s="3" t="s">
        <v>145</v>
      </c>
      <c r="F9" s="3" t="s">
        <v>164</v>
      </c>
      <c r="G9" s="3" t="s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G12"/>
  <sheetViews>
    <sheetView showGridLines="0" workbookViewId="0">
      <pane ySplit="4" topLeftCell="A5" activePane="bottomLeft" state="frozen"/>
      <selection pane="bottomLeft" activeCell="E8" sqref="E8"/>
    </sheetView>
  </sheetViews>
  <sheetFormatPr defaultColWidth="8.75" defaultRowHeight="13.9"/>
  <cols>
    <col min="1" max="1" width="32" customWidth="1"/>
    <col min="2" max="2" width="15" customWidth="1"/>
    <col min="3" max="3" width="45" customWidth="1"/>
    <col min="4" max="4" width="50" customWidth="1"/>
    <col min="5" max="5" width="45" customWidth="1"/>
    <col min="6" max="6" width="18" customWidth="1"/>
    <col min="7" max="7" width="16" customWidth="1"/>
  </cols>
  <sheetData>
    <row r="1" spans="1:7" ht="17.45">
      <c r="A1" s="1" t="s">
        <v>166</v>
      </c>
    </row>
    <row r="2" spans="1:7">
      <c r="A2" s="2" t="s">
        <v>167</v>
      </c>
    </row>
    <row r="4" spans="1:7">
      <c r="A4" s="9" t="s">
        <v>168</v>
      </c>
      <c r="B4" s="9" t="s">
        <v>36</v>
      </c>
      <c r="C4" s="9" t="s">
        <v>169</v>
      </c>
      <c r="D4" s="9" t="s">
        <v>170</v>
      </c>
      <c r="E4" s="9" t="s">
        <v>97</v>
      </c>
      <c r="F4" s="9" t="s">
        <v>171</v>
      </c>
      <c r="G4" s="9" t="s">
        <v>96</v>
      </c>
    </row>
    <row r="5" spans="1:7" ht="26.45">
      <c r="A5" s="3" t="s">
        <v>172</v>
      </c>
      <c r="B5" s="3" t="s">
        <v>173</v>
      </c>
      <c r="C5" s="3" t="s">
        <v>174</v>
      </c>
      <c r="D5" s="3" t="s">
        <v>175</v>
      </c>
      <c r="E5" s="3" t="s">
        <v>176</v>
      </c>
      <c r="F5" s="3" t="s">
        <v>41</v>
      </c>
      <c r="G5" s="3" t="s">
        <v>177</v>
      </c>
    </row>
    <row r="6" spans="1:7">
      <c r="A6" s="3" t="s">
        <v>178</v>
      </c>
      <c r="B6" s="3" t="s">
        <v>173</v>
      </c>
      <c r="C6" s="3" t="s">
        <v>179</v>
      </c>
      <c r="D6" s="3" t="s">
        <v>180</v>
      </c>
      <c r="E6" s="3" t="s">
        <v>181</v>
      </c>
      <c r="F6" s="3" t="s">
        <v>47</v>
      </c>
      <c r="G6" s="3" t="s">
        <v>177</v>
      </c>
    </row>
    <row r="7" spans="1:7">
      <c r="A7" s="3" t="s">
        <v>182</v>
      </c>
      <c r="B7" s="3" t="s">
        <v>173</v>
      </c>
      <c r="C7" s="3" t="s">
        <v>183</v>
      </c>
      <c r="D7" s="3" t="s">
        <v>184</v>
      </c>
      <c r="E7" s="3" t="s">
        <v>185</v>
      </c>
      <c r="F7" s="3" t="s">
        <v>51</v>
      </c>
      <c r="G7" s="3" t="s">
        <v>177</v>
      </c>
    </row>
    <row r="8" spans="1:7" ht="26.45">
      <c r="A8" s="3" t="s">
        <v>186</v>
      </c>
      <c r="B8" s="3" t="s">
        <v>173</v>
      </c>
      <c r="C8" s="3" t="s">
        <v>187</v>
      </c>
      <c r="D8" s="3" t="s">
        <v>188</v>
      </c>
      <c r="E8" s="3" t="s">
        <v>189</v>
      </c>
      <c r="F8" s="3" t="s">
        <v>190</v>
      </c>
      <c r="G8" s="3" t="s">
        <v>177</v>
      </c>
    </row>
    <row r="9" spans="1:7">
      <c r="A9" s="3" t="s">
        <v>191</v>
      </c>
      <c r="B9" s="3" t="s">
        <v>173</v>
      </c>
      <c r="C9" s="3" t="s">
        <v>192</v>
      </c>
      <c r="D9" s="3" t="s">
        <v>193</v>
      </c>
      <c r="E9" s="3" t="s">
        <v>194</v>
      </c>
      <c r="F9" s="3" t="s">
        <v>55</v>
      </c>
      <c r="G9" s="3" t="s">
        <v>177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D13"/>
  <sheetViews>
    <sheetView showGridLines="0" workbookViewId="0">
      <pane ySplit="4" topLeftCell="A5" activePane="bottomLeft" state="frozen"/>
      <selection pane="bottomLeft" activeCell="C7" sqref="C7"/>
    </sheetView>
  </sheetViews>
  <sheetFormatPr defaultColWidth="8.75" defaultRowHeight="13.9"/>
  <cols>
    <col min="1" max="1" width="32" customWidth="1"/>
    <col min="2" max="2" width="42" customWidth="1"/>
    <col min="3" max="3" width="70" customWidth="1"/>
    <col min="4" max="4" width="30" customWidth="1"/>
  </cols>
  <sheetData>
    <row r="1" spans="1:4" ht="17.45">
      <c r="A1" s="1" t="s">
        <v>195</v>
      </c>
    </row>
    <row r="2" spans="1:4">
      <c r="A2" s="2" t="s">
        <v>196</v>
      </c>
    </row>
    <row r="4" spans="1:4">
      <c r="A4" s="9" t="s">
        <v>197</v>
      </c>
      <c r="B4" s="9" t="s">
        <v>198</v>
      </c>
      <c r="C4" s="9" t="s">
        <v>199</v>
      </c>
      <c r="D4" s="9" t="s">
        <v>200</v>
      </c>
    </row>
    <row r="5" spans="1:4">
      <c r="A5" s="3" t="s">
        <v>201</v>
      </c>
      <c r="B5" s="3" t="s">
        <v>202</v>
      </c>
      <c r="C5" s="3" t="s">
        <v>203</v>
      </c>
      <c r="D5" s="3"/>
    </row>
    <row r="6" spans="1:4">
      <c r="A6" s="3" t="s">
        <v>202</v>
      </c>
      <c r="B6" s="3" t="s">
        <v>204</v>
      </c>
      <c r="C6" s="3" t="s">
        <v>205</v>
      </c>
      <c r="D6" s="3"/>
    </row>
    <row r="7" spans="1:4">
      <c r="A7" s="3" t="s">
        <v>204</v>
      </c>
      <c r="B7" s="3" t="s">
        <v>202</v>
      </c>
      <c r="C7" s="3" t="s">
        <v>206</v>
      </c>
      <c r="D7" s="3"/>
    </row>
    <row r="8" spans="1:4">
      <c r="A8" s="3" t="s">
        <v>202</v>
      </c>
      <c r="B8" s="3" t="s">
        <v>207</v>
      </c>
      <c r="C8" s="3" t="s">
        <v>208</v>
      </c>
      <c r="D8" s="3"/>
    </row>
    <row r="9" spans="1:4">
      <c r="A9" s="3" t="s">
        <v>202</v>
      </c>
      <c r="B9" s="3" t="s">
        <v>209</v>
      </c>
      <c r="C9" s="3" t="s">
        <v>210</v>
      </c>
      <c r="D9" s="3"/>
    </row>
    <row r="10" spans="1:4">
      <c r="A10" s="3" t="s">
        <v>202</v>
      </c>
      <c r="B10" s="3" t="s">
        <v>211</v>
      </c>
      <c r="C10" s="3" t="s">
        <v>212</v>
      </c>
      <c r="D10" s="3"/>
    </row>
    <row r="11" spans="1:4">
      <c r="A11" s="3" t="s">
        <v>202</v>
      </c>
      <c r="B11" s="3" t="s">
        <v>213</v>
      </c>
      <c r="C11" s="3" t="s">
        <v>214</v>
      </c>
      <c r="D11" s="3"/>
    </row>
    <row r="12" spans="1:4">
      <c r="A12" s="3" t="s">
        <v>202</v>
      </c>
      <c r="B12" s="3" t="s">
        <v>215</v>
      </c>
      <c r="C12" s="3" t="s">
        <v>216</v>
      </c>
      <c r="D12" s="3"/>
    </row>
    <row r="13" spans="1:4">
      <c r="A13" s="3" t="s">
        <v>217</v>
      </c>
      <c r="B13" s="3" t="s">
        <v>218</v>
      </c>
      <c r="C13" s="3" t="s">
        <v>219</v>
      </c>
      <c r="D13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D14"/>
  <sheetViews>
    <sheetView showGridLines="0" workbookViewId="0">
      <pane ySplit="4" topLeftCell="A5" activePane="bottomLeft" state="frozen"/>
      <selection pane="bottomLeft" activeCell="A13" sqref="A13"/>
    </sheetView>
  </sheetViews>
  <sheetFormatPr defaultColWidth="8.75" defaultRowHeight="13.9"/>
  <cols>
    <col min="1" max="1" width="32" customWidth="1"/>
    <col min="2" max="2" width="35" customWidth="1"/>
    <col min="3" max="3" width="76" customWidth="1"/>
    <col min="4" max="4" width="32" customWidth="1"/>
  </cols>
  <sheetData>
    <row r="1" spans="1:4" ht="17.45">
      <c r="A1" s="1" t="s">
        <v>220</v>
      </c>
    </row>
    <row r="2" spans="1:4">
      <c r="A2" s="2" t="s">
        <v>221</v>
      </c>
    </row>
    <row r="4" spans="1:4">
      <c r="A4" s="9" t="s">
        <v>197</v>
      </c>
      <c r="B4" s="9" t="s">
        <v>198</v>
      </c>
      <c r="C4" s="9" t="s">
        <v>222</v>
      </c>
      <c r="D4" s="9" t="s">
        <v>200</v>
      </c>
    </row>
    <row r="5" spans="1:4">
      <c r="A5" s="3" t="s">
        <v>209</v>
      </c>
      <c r="B5" s="3" t="s">
        <v>207</v>
      </c>
      <c r="C5" s="3" t="s">
        <v>223</v>
      </c>
      <c r="D5" s="3"/>
    </row>
    <row r="6" spans="1:4">
      <c r="A6" s="3" t="s">
        <v>207</v>
      </c>
      <c r="B6" s="3" t="s">
        <v>215</v>
      </c>
      <c r="C6" s="3" t="s">
        <v>224</v>
      </c>
      <c r="D6" s="3"/>
    </row>
    <row r="7" spans="1:4">
      <c r="A7" s="3" t="s">
        <v>215</v>
      </c>
      <c r="B7" s="3" t="s">
        <v>207</v>
      </c>
      <c r="C7" s="3" t="s">
        <v>225</v>
      </c>
      <c r="D7" s="3"/>
    </row>
    <row r="8" spans="1:4">
      <c r="A8" s="3" t="s">
        <v>207</v>
      </c>
      <c r="B8" s="3" t="s">
        <v>211</v>
      </c>
      <c r="C8" s="3" t="s">
        <v>226</v>
      </c>
      <c r="D8" s="3"/>
    </row>
    <row r="9" spans="1:4">
      <c r="A9" s="3" t="s">
        <v>211</v>
      </c>
      <c r="B9" s="3" t="s">
        <v>207</v>
      </c>
      <c r="C9" s="3" t="s">
        <v>227</v>
      </c>
      <c r="D9" s="3" t="s">
        <v>228</v>
      </c>
    </row>
    <row r="10" spans="1:4">
      <c r="A10" s="3" t="s">
        <v>229</v>
      </c>
      <c r="B10" s="3" t="s">
        <v>230</v>
      </c>
      <c r="C10" s="3" t="s">
        <v>231</v>
      </c>
      <c r="D10" s="3"/>
    </row>
    <row r="11" spans="1:4">
      <c r="A11" s="3" t="s">
        <v>229</v>
      </c>
      <c r="B11" s="3" t="s">
        <v>211</v>
      </c>
      <c r="C11" s="3" t="s">
        <v>232</v>
      </c>
      <c r="D11" s="3"/>
    </row>
    <row r="12" spans="1:4">
      <c r="A12" s="3" t="s">
        <v>233</v>
      </c>
      <c r="B12" s="3" t="s">
        <v>207</v>
      </c>
      <c r="C12" s="3" t="s">
        <v>234</v>
      </c>
      <c r="D12" s="3"/>
    </row>
    <row r="13" spans="1:4">
      <c r="A13" s="3" t="s">
        <v>235</v>
      </c>
      <c r="B13" s="3" t="s">
        <v>207</v>
      </c>
      <c r="C13" s="3" t="s">
        <v>236</v>
      </c>
      <c r="D13" s="3"/>
    </row>
    <row r="14" spans="1:4">
      <c r="A14" s="3" t="s">
        <v>202</v>
      </c>
      <c r="B14" s="3" t="s">
        <v>207</v>
      </c>
      <c r="C14" s="3" t="s">
        <v>237</v>
      </c>
      <c r="D14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D12"/>
  <sheetViews>
    <sheetView showGridLines="0" workbookViewId="0">
      <pane ySplit="4" topLeftCell="A5" activePane="bottomLeft" state="frozen"/>
      <selection pane="bottomLeft"/>
    </sheetView>
  </sheetViews>
  <sheetFormatPr defaultColWidth="8.75" defaultRowHeight="13.9"/>
  <cols>
    <col min="1" max="1" width="32" customWidth="1"/>
    <col min="2" max="2" width="38" customWidth="1"/>
    <col min="3" max="3" width="76" customWidth="1"/>
    <col min="4" max="4" width="32" customWidth="1"/>
  </cols>
  <sheetData>
    <row r="1" spans="1:4" ht="17.45">
      <c r="A1" s="1" t="s">
        <v>238</v>
      </c>
    </row>
    <row r="2" spans="1:4">
      <c r="A2" s="2" t="s">
        <v>239</v>
      </c>
    </row>
    <row r="4" spans="1:4">
      <c r="A4" s="9" t="s">
        <v>197</v>
      </c>
      <c r="B4" s="9" t="s">
        <v>198</v>
      </c>
      <c r="C4" s="9" t="s">
        <v>240</v>
      </c>
      <c r="D4" s="9" t="s">
        <v>200</v>
      </c>
    </row>
    <row r="5" spans="1:4">
      <c r="A5" s="3" t="s">
        <v>207</v>
      </c>
      <c r="B5" s="3" t="s">
        <v>209</v>
      </c>
      <c r="C5" s="3" t="s">
        <v>241</v>
      </c>
      <c r="D5" s="3"/>
    </row>
    <row r="6" spans="1:4">
      <c r="A6" s="3" t="s">
        <v>207</v>
      </c>
      <c r="B6" s="3" t="s">
        <v>215</v>
      </c>
      <c r="C6" s="3" t="s">
        <v>242</v>
      </c>
      <c r="D6" s="3"/>
    </row>
    <row r="7" spans="1:4">
      <c r="A7" s="3" t="s">
        <v>207</v>
      </c>
      <c r="B7" s="3" t="s">
        <v>211</v>
      </c>
      <c r="C7" s="3" t="s">
        <v>243</v>
      </c>
      <c r="D7" s="3"/>
    </row>
    <row r="8" spans="1:4">
      <c r="A8" s="3" t="s">
        <v>207</v>
      </c>
      <c r="B8" s="3" t="s">
        <v>202</v>
      </c>
      <c r="C8" s="3" t="s">
        <v>244</v>
      </c>
      <c r="D8" s="3"/>
    </row>
    <row r="9" spans="1:4">
      <c r="A9" s="3" t="s">
        <v>207</v>
      </c>
      <c r="B9" s="3" t="s">
        <v>245</v>
      </c>
      <c r="C9" s="3" t="s">
        <v>246</v>
      </c>
      <c r="D9" s="3"/>
    </row>
    <row r="10" spans="1:4">
      <c r="A10" s="3" t="s">
        <v>207</v>
      </c>
      <c r="B10" s="3" t="s">
        <v>247</v>
      </c>
      <c r="C10" s="3" t="s">
        <v>248</v>
      </c>
      <c r="D10" s="3"/>
    </row>
    <row r="11" spans="1:4">
      <c r="A11" s="3" t="s">
        <v>229</v>
      </c>
      <c r="B11" s="3" t="s">
        <v>211</v>
      </c>
      <c r="C11" s="3" t="s">
        <v>249</v>
      </c>
      <c r="D11" s="3" t="s">
        <v>250</v>
      </c>
    </row>
    <row r="12" spans="1:4">
      <c r="A12" s="3" t="s">
        <v>211</v>
      </c>
      <c r="B12" s="3" t="s">
        <v>207</v>
      </c>
      <c r="C12" s="3" t="s">
        <v>251</v>
      </c>
      <c r="D12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9D18E"/>
  </sheetPr>
  <dimension ref="A1:D12"/>
  <sheetViews>
    <sheetView showGridLines="0" workbookViewId="0">
      <pane ySplit="4" topLeftCell="A5" activePane="bottomLeft" state="frozen"/>
      <selection pane="bottomLeft"/>
    </sheetView>
  </sheetViews>
  <sheetFormatPr defaultColWidth="8.75" defaultRowHeight="13.9"/>
  <cols>
    <col min="1" max="1" width="32" customWidth="1"/>
    <col min="2" max="3" width="58" customWidth="1"/>
    <col min="4" max="4" width="30" customWidth="1"/>
  </cols>
  <sheetData>
    <row r="1" spans="1:4" ht="17.45">
      <c r="A1" s="1" t="s">
        <v>252</v>
      </c>
    </row>
    <row r="2" spans="1:4">
      <c r="A2" s="2" t="s">
        <v>253</v>
      </c>
    </row>
    <row r="4" spans="1:4">
      <c r="A4" s="9" t="s">
        <v>254</v>
      </c>
      <c r="B4" s="9" t="s">
        <v>255</v>
      </c>
      <c r="C4" s="9" t="s">
        <v>256</v>
      </c>
      <c r="D4" s="9" t="s">
        <v>200</v>
      </c>
    </row>
    <row r="5" spans="1:4" ht="26.45">
      <c r="A5" s="3" t="s">
        <v>257</v>
      </c>
      <c r="B5" s="3" t="s">
        <v>258</v>
      </c>
      <c r="C5" s="3" t="s">
        <v>259</v>
      </c>
      <c r="D5" s="3"/>
    </row>
    <row r="6" spans="1:4" ht="26.45">
      <c r="A6" s="3" t="s">
        <v>260</v>
      </c>
      <c r="B6" s="3" t="s">
        <v>261</v>
      </c>
      <c r="C6" s="3" t="s">
        <v>262</v>
      </c>
      <c r="D6" s="3"/>
    </row>
    <row r="7" spans="1:4">
      <c r="A7" s="3" t="s">
        <v>263</v>
      </c>
      <c r="B7" s="3" t="s">
        <v>264</v>
      </c>
      <c r="C7" s="3" t="s">
        <v>265</v>
      </c>
      <c r="D7" s="3"/>
    </row>
    <row r="8" spans="1:4">
      <c r="A8" s="3" t="s">
        <v>266</v>
      </c>
      <c r="B8" s="3" t="s">
        <v>267</v>
      </c>
      <c r="C8" s="3" t="s">
        <v>268</v>
      </c>
      <c r="D8" s="3"/>
    </row>
    <row r="9" spans="1:4">
      <c r="A9" s="3" t="s">
        <v>202</v>
      </c>
      <c r="B9" s="3" t="s">
        <v>269</v>
      </c>
      <c r="C9" s="3" t="s">
        <v>270</v>
      </c>
      <c r="D9" s="3"/>
    </row>
    <row r="10" spans="1:4">
      <c r="A10" s="3" t="s">
        <v>271</v>
      </c>
      <c r="B10" s="3" t="s">
        <v>272</v>
      </c>
      <c r="C10" s="3" t="s">
        <v>273</v>
      </c>
      <c r="D10" s="3"/>
    </row>
    <row r="11" spans="1:4">
      <c r="A11" s="3" t="s">
        <v>274</v>
      </c>
      <c r="B11" s="3" t="s">
        <v>275</v>
      </c>
      <c r="C11" s="3" t="s">
        <v>276</v>
      </c>
      <c r="D11" s="3"/>
    </row>
    <row r="12" spans="1:4">
      <c r="A12" s="3" t="s">
        <v>217</v>
      </c>
      <c r="B12" s="3" t="s">
        <v>277</v>
      </c>
      <c r="C12" s="3" t="s">
        <v>278</v>
      </c>
      <c r="D12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J25"/>
  <sheetViews>
    <sheetView showGridLines="0" workbookViewId="0">
      <pane ySplit="4" topLeftCell="A5" activePane="bottomLeft" state="frozen"/>
      <selection pane="bottomLeft" activeCell="G16" sqref="G16"/>
    </sheetView>
  </sheetViews>
  <sheetFormatPr defaultColWidth="8.75" defaultRowHeight="13.9"/>
  <cols>
    <col min="1" max="1" width="28" customWidth="1"/>
    <col min="2" max="2" width="10" customWidth="1"/>
    <col min="3" max="3" width="14" customWidth="1"/>
    <col min="4" max="4" width="12" customWidth="1"/>
    <col min="5" max="5" width="14" customWidth="1"/>
    <col min="6" max="6" width="12" customWidth="1"/>
    <col min="7" max="7" width="72" customWidth="1"/>
    <col min="8" max="8" width="4" customWidth="1"/>
    <col min="9" max="9" width="26" customWidth="1"/>
    <col min="10" max="10" width="84" customWidth="1"/>
  </cols>
  <sheetData>
    <row r="1" spans="1:10" ht="17.45">
      <c r="A1" s="1" t="s">
        <v>279</v>
      </c>
    </row>
    <row r="2" spans="1:10">
      <c r="A2" s="2" t="s">
        <v>280</v>
      </c>
    </row>
    <row r="3" spans="1:10" ht="15.6">
      <c r="I3" s="8" t="s">
        <v>281</v>
      </c>
      <c r="J3" s="8"/>
    </row>
    <row r="4" spans="1:10">
      <c r="A4" s="9" t="s">
        <v>282</v>
      </c>
      <c r="B4" s="9" t="s">
        <v>283</v>
      </c>
      <c r="C4" s="9" t="s">
        <v>284</v>
      </c>
      <c r="D4" s="9" t="s">
        <v>285</v>
      </c>
      <c r="E4" s="9" t="s">
        <v>286</v>
      </c>
      <c r="F4" s="9" t="s">
        <v>287</v>
      </c>
      <c r="G4" s="9" t="s">
        <v>288</v>
      </c>
      <c r="I4" s="9" t="s">
        <v>289</v>
      </c>
      <c r="J4" s="9" t="s">
        <v>290</v>
      </c>
    </row>
    <row r="5" spans="1:10" ht="52.15" customHeight="1">
      <c r="A5" s="3" t="s">
        <v>291</v>
      </c>
      <c r="B5" s="4">
        <v>0.18</v>
      </c>
      <c r="C5" s="6">
        <v>4</v>
      </c>
      <c r="D5" s="4">
        <f t="shared" ref="D5:D12" si="0">B5*C5</f>
        <v>0.72</v>
      </c>
      <c r="E5" s="6">
        <v>3</v>
      </c>
      <c r="F5" s="4">
        <f t="shared" ref="F5:F12" si="1">B5*E5</f>
        <v>0.54</v>
      </c>
      <c r="G5" s="3" t="s">
        <v>292</v>
      </c>
      <c r="I5" s="10" t="s">
        <v>293</v>
      </c>
      <c r="J5" s="7" t="s">
        <v>294</v>
      </c>
    </row>
    <row r="6" spans="1:10" ht="52.15" customHeight="1">
      <c r="A6" s="3" t="s">
        <v>295</v>
      </c>
      <c r="B6" s="4">
        <v>0.16</v>
      </c>
      <c r="C6" s="6">
        <v>4</v>
      </c>
      <c r="D6" s="4">
        <f t="shared" si="0"/>
        <v>0.64</v>
      </c>
      <c r="E6" s="6">
        <v>2</v>
      </c>
      <c r="F6" s="4">
        <f t="shared" si="1"/>
        <v>0.32</v>
      </c>
      <c r="G6" s="3" t="s">
        <v>296</v>
      </c>
      <c r="I6" s="10" t="s">
        <v>297</v>
      </c>
      <c r="J6" s="7" t="s">
        <v>298</v>
      </c>
    </row>
    <row r="7" spans="1:10" ht="52.15" customHeight="1">
      <c r="A7" s="3" t="s">
        <v>299</v>
      </c>
      <c r="B7" s="4">
        <v>0.14000000000000001</v>
      </c>
      <c r="C7" s="6">
        <v>3</v>
      </c>
      <c r="D7" s="4">
        <f t="shared" si="0"/>
        <v>0.42000000000000004</v>
      </c>
      <c r="E7" s="6">
        <v>4</v>
      </c>
      <c r="F7" s="4">
        <f t="shared" si="1"/>
        <v>0.56000000000000005</v>
      </c>
      <c r="G7" s="3" t="s">
        <v>300</v>
      </c>
      <c r="I7" s="10" t="s">
        <v>301</v>
      </c>
      <c r="J7" s="7" t="s">
        <v>302</v>
      </c>
    </row>
    <row r="8" spans="1:10" ht="52.15" customHeight="1">
      <c r="A8" s="3" t="s">
        <v>303</v>
      </c>
      <c r="B8" s="4">
        <v>0.12</v>
      </c>
      <c r="C8" s="6">
        <v>4</v>
      </c>
      <c r="D8" s="4">
        <f t="shared" si="0"/>
        <v>0.48</v>
      </c>
      <c r="E8" s="6">
        <v>3</v>
      </c>
      <c r="F8" s="4">
        <f t="shared" si="1"/>
        <v>0.36</v>
      </c>
      <c r="G8" s="3" t="s">
        <v>304</v>
      </c>
      <c r="I8" s="10" t="s">
        <v>305</v>
      </c>
      <c r="J8" s="7" t="s">
        <v>306</v>
      </c>
    </row>
    <row r="9" spans="1:10" ht="52.15" customHeight="1">
      <c r="A9" s="3" t="s">
        <v>307</v>
      </c>
      <c r="B9" s="4">
        <v>0.16</v>
      </c>
      <c r="C9" s="6">
        <v>4</v>
      </c>
      <c r="D9" s="4">
        <f t="shared" si="0"/>
        <v>0.64</v>
      </c>
      <c r="E9" s="6">
        <v>3</v>
      </c>
      <c r="F9" s="4">
        <f t="shared" si="1"/>
        <v>0.48</v>
      </c>
      <c r="G9" s="3" t="s">
        <v>308</v>
      </c>
      <c r="I9" s="10" t="s">
        <v>309</v>
      </c>
      <c r="J9" s="7" t="s">
        <v>310</v>
      </c>
    </row>
    <row r="10" spans="1:10" ht="52.15" customHeight="1">
      <c r="A10" s="3" t="s">
        <v>311</v>
      </c>
      <c r="B10" s="4">
        <v>0.1</v>
      </c>
      <c r="C10" s="6">
        <v>4</v>
      </c>
      <c r="D10" s="4">
        <f t="shared" si="0"/>
        <v>0.4</v>
      </c>
      <c r="E10" s="6">
        <v>3</v>
      </c>
      <c r="F10" s="4">
        <f t="shared" si="1"/>
        <v>0.30000000000000004</v>
      </c>
      <c r="G10" s="3" t="s">
        <v>312</v>
      </c>
      <c r="I10" s="10" t="s">
        <v>313</v>
      </c>
      <c r="J10" s="7" t="s">
        <v>314</v>
      </c>
    </row>
    <row r="11" spans="1:10" ht="52.15" customHeight="1">
      <c r="A11" s="3" t="s">
        <v>315</v>
      </c>
      <c r="B11" s="4">
        <v>0.08</v>
      </c>
      <c r="C11" s="6">
        <v>4</v>
      </c>
      <c r="D11" s="4">
        <f t="shared" si="0"/>
        <v>0.32</v>
      </c>
      <c r="E11" s="6">
        <v>3</v>
      </c>
      <c r="F11" s="4">
        <f t="shared" si="1"/>
        <v>0.24</v>
      </c>
      <c r="G11" s="3" t="s">
        <v>316</v>
      </c>
      <c r="I11" s="10" t="s">
        <v>317</v>
      </c>
      <c r="J11" s="7" t="s">
        <v>318</v>
      </c>
    </row>
    <row r="12" spans="1:10">
      <c r="A12" s="3" t="s">
        <v>319</v>
      </c>
      <c r="B12" s="4">
        <v>0.06</v>
      </c>
      <c r="C12" s="6">
        <v>3</v>
      </c>
      <c r="D12" s="4">
        <f t="shared" si="0"/>
        <v>0.18</v>
      </c>
      <c r="E12" s="6">
        <v>5</v>
      </c>
      <c r="F12" s="4">
        <f t="shared" si="1"/>
        <v>0.3</v>
      </c>
      <c r="G12" s="3" t="s">
        <v>320</v>
      </c>
    </row>
    <row r="13" spans="1:10" ht="26.45">
      <c r="A13" s="11" t="s">
        <v>321</v>
      </c>
      <c r="B13" s="12">
        <f>SUM(B5:B12)</f>
        <v>1</v>
      </c>
      <c r="C13" s="11"/>
      <c r="D13" s="12">
        <f>SUM(D5:D12)</f>
        <v>3.8</v>
      </c>
      <c r="E13" s="11"/>
      <c r="F13" s="12">
        <f>SUM(F5:F12)</f>
        <v>3.1000000000000005</v>
      </c>
      <c r="G13" s="11" t="s">
        <v>322</v>
      </c>
    </row>
    <row r="19" ht="54" customHeight="1"/>
    <row r="20" ht="54" customHeight="1"/>
    <row r="21" ht="54" customHeight="1"/>
    <row r="22" ht="54" customHeight="1"/>
    <row r="23" ht="54" customHeight="1"/>
    <row r="24" ht="54" customHeight="1"/>
    <row r="25" ht="54" customHeigh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4C6E7"/>
  </sheetPr>
  <dimension ref="A1:H34"/>
  <sheetViews>
    <sheetView showGridLines="0" tabSelected="1" workbookViewId="0">
      <pane ySplit="4" topLeftCell="A5" activePane="bottomLeft" state="frozen"/>
      <selection pane="bottomLeft" activeCell="F5" sqref="A5:F5"/>
    </sheetView>
  </sheetViews>
  <sheetFormatPr defaultColWidth="8.75" defaultRowHeight="13.9"/>
  <cols>
    <col min="1" max="1" width="10" customWidth="1"/>
    <col min="2" max="3" width="26" customWidth="1"/>
    <col min="4" max="4" width="38" customWidth="1"/>
    <col min="5" max="5" width="24" customWidth="1"/>
    <col min="6" max="6" width="36" customWidth="1"/>
    <col min="7" max="7" width="24" customWidth="1"/>
    <col min="8" max="8" width="30" customWidth="1"/>
  </cols>
  <sheetData>
    <row r="1" spans="1:8" ht="18">
      <c r="A1" s="20" t="s">
        <v>323</v>
      </c>
      <c r="B1" s="20"/>
      <c r="C1" s="20"/>
      <c r="D1" s="20"/>
      <c r="E1" s="20"/>
      <c r="F1" s="20"/>
      <c r="G1" s="20"/>
      <c r="H1" s="20"/>
    </row>
    <row r="2" spans="1:8" ht="14.25">
      <c r="A2" s="21" t="s">
        <v>324</v>
      </c>
      <c r="B2" s="21"/>
      <c r="C2" s="21"/>
      <c r="D2" s="21"/>
      <c r="E2" s="21"/>
      <c r="F2" s="21"/>
      <c r="G2" s="21"/>
      <c r="H2" s="21"/>
    </row>
    <row r="3" spans="1:8" ht="14.25">
      <c r="A3" s="22"/>
      <c r="B3" s="22"/>
      <c r="C3" s="22"/>
      <c r="D3" s="22"/>
      <c r="E3" s="22"/>
      <c r="F3" s="22"/>
      <c r="G3" s="22"/>
      <c r="H3" s="22"/>
    </row>
    <row r="4" spans="1:8" ht="14.25">
      <c r="A4" s="23" t="s">
        <v>35</v>
      </c>
      <c r="B4" s="23" t="s">
        <v>197</v>
      </c>
      <c r="C4" s="23" t="s">
        <v>198</v>
      </c>
      <c r="D4" s="23" t="s">
        <v>325</v>
      </c>
      <c r="E4" s="23" t="s">
        <v>326</v>
      </c>
      <c r="F4" s="23" t="s">
        <v>327</v>
      </c>
      <c r="G4" s="23" t="s">
        <v>328</v>
      </c>
      <c r="H4" s="23" t="s">
        <v>200</v>
      </c>
    </row>
    <row r="5" spans="1:8" ht="36">
      <c r="A5" s="24" t="s">
        <v>329</v>
      </c>
      <c r="B5" s="25" t="s">
        <v>202</v>
      </c>
      <c r="C5" s="25" t="s">
        <v>207</v>
      </c>
      <c r="D5" s="25" t="s">
        <v>330</v>
      </c>
      <c r="E5" s="25" t="s">
        <v>331</v>
      </c>
      <c r="F5" s="25" t="s">
        <v>332</v>
      </c>
      <c r="G5" s="25" t="s">
        <v>333</v>
      </c>
      <c r="H5" s="25" t="s">
        <v>334</v>
      </c>
    </row>
    <row r="6" spans="1:8" ht="36">
      <c r="A6" s="24" t="s">
        <v>335</v>
      </c>
      <c r="B6" s="25" t="s">
        <v>202</v>
      </c>
      <c r="C6" s="25" t="s">
        <v>209</v>
      </c>
      <c r="D6" s="25" t="s">
        <v>336</v>
      </c>
      <c r="E6" s="25" t="s">
        <v>331</v>
      </c>
      <c r="F6" s="25" t="s">
        <v>337</v>
      </c>
      <c r="G6" s="25" t="s">
        <v>333</v>
      </c>
      <c r="H6" s="25" t="s">
        <v>338</v>
      </c>
    </row>
    <row r="7" spans="1:8" ht="36">
      <c r="A7" s="24" t="s">
        <v>339</v>
      </c>
      <c r="B7" s="25" t="s">
        <v>202</v>
      </c>
      <c r="C7" s="25" t="s">
        <v>211</v>
      </c>
      <c r="D7" s="25" t="s">
        <v>340</v>
      </c>
      <c r="E7" s="25" t="s">
        <v>331</v>
      </c>
      <c r="F7" s="25" t="s">
        <v>341</v>
      </c>
      <c r="G7" s="25" t="s">
        <v>333</v>
      </c>
      <c r="H7" s="25" t="s">
        <v>342</v>
      </c>
    </row>
    <row r="8" spans="1:8" ht="36">
      <c r="A8" s="24" t="s">
        <v>343</v>
      </c>
      <c r="B8" s="25" t="s">
        <v>202</v>
      </c>
      <c r="C8" s="25" t="s">
        <v>344</v>
      </c>
      <c r="D8" s="25" t="s">
        <v>345</v>
      </c>
      <c r="E8" s="25" t="s">
        <v>331</v>
      </c>
      <c r="F8" s="25" t="s">
        <v>346</v>
      </c>
      <c r="G8" s="25" t="s">
        <v>333</v>
      </c>
      <c r="H8" s="25" t="s">
        <v>347</v>
      </c>
    </row>
    <row r="9" spans="1:8" ht="24">
      <c r="A9" s="24" t="s">
        <v>348</v>
      </c>
      <c r="B9" s="25" t="s">
        <v>202</v>
      </c>
      <c r="C9" s="25" t="s">
        <v>215</v>
      </c>
      <c r="D9" s="25" t="s">
        <v>349</v>
      </c>
      <c r="E9" s="25" t="s">
        <v>331</v>
      </c>
      <c r="F9" s="25" t="s">
        <v>350</v>
      </c>
      <c r="G9" s="25" t="s">
        <v>333</v>
      </c>
      <c r="H9" s="25" t="s">
        <v>351</v>
      </c>
    </row>
    <row r="10" spans="1:8" ht="24">
      <c r="A10" s="24" t="s">
        <v>352</v>
      </c>
      <c r="B10" s="25" t="s">
        <v>202</v>
      </c>
      <c r="C10" s="25" t="s">
        <v>217</v>
      </c>
      <c r="D10" s="25" t="s">
        <v>353</v>
      </c>
      <c r="E10" s="25" t="s">
        <v>331</v>
      </c>
      <c r="F10" s="25" t="s">
        <v>354</v>
      </c>
      <c r="G10" s="25" t="s">
        <v>333</v>
      </c>
      <c r="H10" s="25" t="s">
        <v>355</v>
      </c>
    </row>
    <row r="11" spans="1:8" ht="24">
      <c r="A11" s="24" t="s">
        <v>356</v>
      </c>
      <c r="B11" s="25" t="s">
        <v>207</v>
      </c>
      <c r="C11" s="25" t="s">
        <v>209</v>
      </c>
      <c r="D11" s="25" t="s">
        <v>357</v>
      </c>
      <c r="E11" s="25" t="s">
        <v>358</v>
      </c>
      <c r="F11" s="25" t="s">
        <v>359</v>
      </c>
      <c r="G11" s="25" t="s">
        <v>360</v>
      </c>
      <c r="H11" s="25" t="s">
        <v>361</v>
      </c>
    </row>
    <row r="12" spans="1:8" ht="36">
      <c r="A12" s="24" t="s">
        <v>362</v>
      </c>
      <c r="B12" s="25" t="s">
        <v>209</v>
      </c>
      <c r="C12" s="25" t="s">
        <v>207</v>
      </c>
      <c r="D12" s="25" t="s">
        <v>363</v>
      </c>
      <c r="E12" s="25" t="s">
        <v>364</v>
      </c>
      <c r="F12" s="25" t="s">
        <v>365</v>
      </c>
      <c r="G12" s="25" t="s">
        <v>366</v>
      </c>
      <c r="H12" s="25" t="s">
        <v>367</v>
      </c>
    </row>
    <row r="13" spans="1:8" ht="36">
      <c r="A13" s="24" t="s">
        <v>368</v>
      </c>
      <c r="B13" s="25" t="s">
        <v>207</v>
      </c>
      <c r="C13" s="25" t="s">
        <v>215</v>
      </c>
      <c r="D13" s="25" t="s">
        <v>369</v>
      </c>
      <c r="E13" s="25" t="s">
        <v>370</v>
      </c>
      <c r="F13" s="25" t="s">
        <v>359</v>
      </c>
      <c r="G13" s="25" t="s">
        <v>371</v>
      </c>
      <c r="H13" s="25" t="s">
        <v>372</v>
      </c>
    </row>
    <row r="14" spans="1:8" ht="36">
      <c r="A14" s="24" t="s">
        <v>373</v>
      </c>
      <c r="B14" s="25" t="s">
        <v>207</v>
      </c>
      <c r="C14" s="25" t="s">
        <v>211</v>
      </c>
      <c r="D14" s="25" t="s">
        <v>374</v>
      </c>
      <c r="E14" s="25" t="s">
        <v>375</v>
      </c>
      <c r="F14" s="25" t="s">
        <v>359</v>
      </c>
      <c r="G14" s="25" t="s">
        <v>376</v>
      </c>
      <c r="H14" s="25" t="s">
        <v>377</v>
      </c>
    </row>
    <row r="15" spans="1:8" ht="24">
      <c r="A15" s="24" t="s">
        <v>378</v>
      </c>
      <c r="B15" s="25" t="s">
        <v>211</v>
      </c>
      <c r="C15" s="25" t="s">
        <v>207</v>
      </c>
      <c r="D15" s="25" t="s">
        <v>379</v>
      </c>
      <c r="E15" s="25" t="s">
        <v>375</v>
      </c>
      <c r="F15" s="25" t="s">
        <v>359</v>
      </c>
      <c r="G15" s="25" t="s">
        <v>380</v>
      </c>
      <c r="H15" s="25" t="s">
        <v>381</v>
      </c>
    </row>
    <row r="16" spans="1:8" ht="36">
      <c r="A16" s="24" t="s">
        <v>382</v>
      </c>
      <c r="B16" s="25" t="s">
        <v>211</v>
      </c>
      <c r="C16" s="25" t="s">
        <v>229</v>
      </c>
      <c r="D16" s="25" t="s">
        <v>383</v>
      </c>
      <c r="E16" s="25" t="s">
        <v>384</v>
      </c>
      <c r="F16" s="25" t="s">
        <v>385</v>
      </c>
      <c r="G16" s="25" t="s">
        <v>386</v>
      </c>
      <c r="H16" s="25" t="s">
        <v>387</v>
      </c>
    </row>
    <row r="17" spans="1:8" ht="36">
      <c r="A17" s="24" t="s">
        <v>388</v>
      </c>
      <c r="B17" s="25" t="s">
        <v>229</v>
      </c>
      <c r="C17" s="25" t="s">
        <v>211</v>
      </c>
      <c r="D17" s="25" t="s">
        <v>389</v>
      </c>
      <c r="E17" s="25" t="s">
        <v>384</v>
      </c>
      <c r="F17" s="25" t="s">
        <v>390</v>
      </c>
      <c r="G17" s="25" t="s">
        <v>391</v>
      </c>
      <c r="H17" s="25" t="s">
        <v>392</v>
      </c>
    </row>
    <row r="18" spans="1:8" ht="36">
      <c r="A18" s="24" t="s">
        <v>393</v>
      </c>
      <c r="B18" s="25" t="s">
        <v>233</v>
      </c>
      <c r="C18" s="25" t="s">
        <v>207</v>
      </c>
      <c r="D18" s="25" t="s">
        <v>394</v>
      </c>
      <c r="E18" s="25" t="s">
        <v>395</v>
      </c>
      <c r="F18" s="25" t="s">
        <v>359</v>
      </c>
      <c r="G18" s="25" t="s">
        <v>396</v>
      </c>
      <c r="H18" s="25" t="s">
        <v>397</v>
      </c>
    </row>
    <row r="19" spans="1:8" ht="36">
      <c r="A19" s="24" t="s">
        <v>398</v>
      </c>
      <c r="B19" s="25" t="s">
        <v>207</v>
      </c>
      <c r="C19" s="25" t="s">
        <v>399</v>
      </c>
      <c r="D19" s="25" t="s">
        <v>400</v>
      </c>
      <c r="E19" s="25" t="s">
        <v>401</v>
      </c>
      <c r="F19" s="25" t="s">
        <v>402</v>
      </c>
      <c r="G19" s="25" t="s">
        <v>391</v>
      </c>
      <c r="H19" s="25" t="s">
        <v>403</v>
      </c>
    </row>
    <row r="20" spans="1:8" ht="36">
      <c r="A20" s="24" t="s">
        <v>404</v>
      </c>
      <c r="B20" s="25" t="s">
        <v>202</v>
      </c>
      <c r="C20" s="25" t="s">
        <v>207</v>
      </c>
      <c r="D20" s="25" t="s">
        <v>405</v>
      </c>
      <c r="E20" s="25" t="s">
        <v>406</v>
      </c>
      <c r="F20" s="25" t="s">
        <v>407</v>
      </c>
      <c r="G20" s="25" t="s">
        <v>391</v>
      </c>
      <c r="H20" s="25" t="s">
        <v>408</v>
      </c>
    </row>
    <row r="21" spans="1:8" ht="36">
      <c r="A21" s="24" t="s">
        <v>409</v>
      </c>
      <c r="B21" s="25" t="s">
        <v>217</v>
      </c>
      <c r="C21" s="25" t="s">
        <v>207</v>
      </c>
      <c r="D21" s="25" t="s">
        <v>410</v>
      </c>
      <c r="E21" s="25" t="s">
        <v>406</v>
      </c>
      <c r="F21" s="25" t="s">
        <v>359</v>
      </c>
      <c r="G21" s="25" t="s">
        <v>391</v>
      </c>
      <c r="H21" s="25" t="s">
        <v>411</v>
      </c>
    </row>
    <row r="22" spans="1:8" ht="24">
      <c r="A22" s="24" t="s">
        <v>412</v>
      </c>
      <c r="B22" s="25" t="s">
        <v>207</v>
      </c>
      <c r="C22" s="25" t="s">
        <v>217</v>
      </c>
      <c r="D22" s="25" t="s">
        <v>413</v>
      </c>
      <c r="E22" s="25" t="s">
        <v>414</v>
      </c>
      <c r="F22" s="25" t="s">
        <v>359</v>
      </c>
      <c r="G22" s="25" t="s">
        <v>391</v>
      </c>
      <c r="H22" s="25" t="s">
        <v>415</v>
      </c>
    </row>
    <row r="23" spans="1:8" ht="14.25">
      <c r="A23" s="22"/>
      <c r="B23" s="22"/>
      <c r="C23" s="22"/>
      <c r="D23" s="22"/>
      <c r="E23" s="22"/>
      <c r="F23" s="22"/>
      <c r="G23" s="22"/>
      <c r="H23" s="22"/>
    </row>
    <row r="24" spans="1:8" ht="14.25">
      <c r="A24" s="22"/>
      <c r="B24" s="22"/>
      <c r="C24" s="22"/>
      <c r="D24" s="22"/>
      <c r="E24" s="22"/>
      <c r="F24" s="22"/>
      <c r="G24" s="22"/>
      <c r="H24" s="22"/>
    </row>
    <row r="25" spans="1:8" ht="14.25">
      <c r="A25" s="22"/>
      <c r="B25" s="22"/>
      <c r="C25" s="22"/>
      <c r="D25" s="22"/>
      <c r="E25" s="22"/>
      <c r="F25" s="22"/>
      <c r="G25" s="22"/>
      <c r="H25" s="22"/>
    </row>
    <row r="26" spans="1:8" ht="14.25">
      <c r="A26" s="22"/>
      <c r="B26" s="22"/>
      <c r="C26" s="22"/>
      <c r="D26" s="22"/>
      <c r="E26" s="22"/>
      <c r="F26" s="22"/>
      <c r="G26" s="22"/>
      <c r="H26" s="22"/>
    </row>
    <row r="27" spans="1:8" ht="14.25">
      <c r="A27" s="22"/>
      <c r="B27" s="22"/>
      <c r="C27" s="22"/>
      <c r="D27" s="22"/>
      <c r="E27" s="22"/>
      <c r="F27" s="22"/>
      <c r="G27" s="22"/>
      <c r="H27" s="22"/>
    </row>
    <row r="28" spans="1:8" ht="14.25">
      <c r="A28" s="22"/>
      <c r="B28" s="22"/>
      <c r="C28" s="22"/>
      <c r="D28" s="22"/>
      <c r="E28" s="22"/>
      <c r="F28" s="22"/>
      <c r="G28" s="22"/>
      <c r="H28" s="22"/>
    </row>
    <row r="29" spans="1:8" ht="14.25">
      <c r="A29" s="22"/>
      <c r="B29" s="22"/>
      <c r="C29" s="22"/>
      <c r="D29" s="22"/>
      <c r="E29" s="22"/>
      <c r="F29" s="22"/>
      <c r="G29" s="22"/>
      <c r="H29" s="22"/>
    </row>
    <row r="30" spans="1:8" ht="14.25">
      <c r="A30" s="22"/>
      <c r="B30" s="22"/>
      <c r="C30" s="22"/>
      <c r="D30" s="22"/>
      <c r="E30" s="22"/>
      <c r="F30" s="22"/>
      <c r="G30" s="22"/>
      <c r="H30" s="22"/>
    </row>
    <row r="31" spans="1:8" ht="14.25">
      <c r="A31" s="22"/>
      <c r="B31" s="22"/>
      <c r="C31" s="22"/>
      <c r="D31" s="22"/>
      <c r="E31" s="22"/>
      <c r="F31" s="22"/>
      <c r="G31" s="22"/>
      <c r="H31" s="22"/>
    </row>
    <row r="32" spans="1:8" ht="14.25">
      <c r="A32" s="22"/>
      <c r="B32" s="22"/>
      <c r="C32" s="22"/>
      <c r="D32" s="22"/>
      <c r="E32" s="22"/>
      <c r="F32" s="22"/>
      <c r="G32" s="22"/>
      <c r="H32" s="22"/>
    </row>
    <row r="33" spans="1:8" ht="14.25">
      <c r="A33" s="22"/>
      <c r="B33" s="22"/>
      <c r="C33" s="22"/>
      <c r="D33" s="22"/>
      <c r="E33" s="22"/>
      <c r="F33" s="22"/>
      <c r="G33" s="22"/>
      <c r="H33" s="22"/>
    </row>
    <row r="34" spans="1:8" ht="14.25">
      <c r="A34" s="22"/>
      <c r="B34" s="22"/>
      <c r="C34" s="22"/>
      <c r="D34" s="22"/>
      <c r="E34" s="22"/>
      <c r="F34" s="22"/>
      <c r="G34" s="22"/>
      <c r="H34" s="2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76714-953E-4885-9529-F8F02956463A}">
  <sheetPr>
    <tabColor theme="6" tint="0.39997558519241921"/>
  </sheetPr>
  <dimension ref="A1:K14"/>
  <sheetViews>
    <sheetView showGridLines="0" workbookViewId="0">
      <selection activeCell="H14" sqref="H14"/>
    </sheetView>
  </sheetViews>
  <sheetFormatPr defaultRowHeight="14.25"/>
  <cols>
    <col min="1" max="1" width="29.625" customWidth="1"/>
    <col min="3" max="3" width="34.75" customWidth="1"/>
    <col min="4" max="4" width="16" customWidth="1"/>
    <col min="6" max="6" width="25.25" customWidth="1"/>
    <col min="8" max="8" width="36.625" customWidth="1"/>
  </cols>
  <sheetData>
    <row r="1" spans="1:11" ht="48">
      <c r="A1" s="14" t="s">
        <v>416</v>
      </c>
      <c r="B1" s="14" t="s">
        <v>417</v>
      </c>
      <c r="C1" s="14" t="s">
        <v>418</v>
      </c>
      <c r="D1" s="14" t="s">
        <v>419</v>
      </c>
      <c r="E1" s="14" t="s">
        <v>420</v>
      </c>
      <c r="F1" s="14" t="s">
        <v>421</v>
      </c>
      <c r="G1" s="14" t="s">
        <v>422</v>
      </c>
      <c r="H1" s="14" t="s">
        <v>423</v>
      </c>
    </row>
    <row r="2" spans="1:11" ht="48">
      <c r="A2" s="15" t="s">
        <v>424</v>
      </c>
      <c r="B2" s="15">
        <v>150</v>
      </c>
      <c r="C2" s="15">
        <v>300</v>
      </c>
      <c r="D2" s="16">
        <v>1</v>
      </c>
      <c r="E2" s="15">
        <v>225</v>
      </c>
      <c r="F2" s="15">
        <v>80</v>
      </c>
      <c r="G2" s="15" t="s">
        <v>425</v>
      </c>
      <c r="H2" s="15" t="s">
        <v>426</v>
      </c>
    </row>
    <row r="3" spans="1:11" ht="24">
      <c r="A3" s="15" t="s">
        <v>427</v>
      </c>
      <c r="B3" s="15" t="s">
        <v>428</v>
      </c>
      <c r="C3" s="15" t="s">
        <v>429</v>
      </c>
      <c r="D3" s="15" t="s">
        <v>430</v>
      </c>
      <c r="E3" s="15">
        <v>60</v>
      </c>
      <c r="F3" s="15">
        <v>60</v>
      </c>
      <c r="G3" s="15" t="s">
        <v>425</v>
      </c>
      <c r="H3" s="15" t="s">
        <v>431</v>
      </c>
      <c r="K3" s="17"/>
    </row>
    <row r="4" spans="1:11" ht="60">
      <c r="A4" s="15" t="s">
        <v>432</v>
      </c>
      <c r="B4" s="15" t="s">
        <v>433</v>
      </c>
      <c r="C4" s="15">
        <v>1500</v>
      </c>
      <c r="D4" s="16">
        <v>0.05</v>
      </c>
      <c r="E4" s="15" t="s">
        <v>434</v>
      </c>
      <c r="F4" s="15">
        <v>150</v>
      </c>
      <c r="G4" s="15" t="s">
        <v>435</v>
      </c>
      <c r="H4" s="15" t="s">
        <v>436</v>
      </c>
    </row>
    <row r="5" spans="1:11" ht="72">
      <c r="A5" s="15" t="s">
        <v>437</v>
      </c>
      <c r="B5" s="15">
        <v>100</v>
      </c>
      <c r="C5" s="15">
        <v>1000</v>
      </c>
      <c r="D5" s="16">
        <v>0.2</v>
      </c>
      <c r="E5" s="15">
        <v>450</v>
      </c>
      <c r="F5" s="15">
        <v>200</v>
      </c>
      <c r="G5" s="15" t="s">
        <v>438</v>
      </c>
      <c r="H5" s="15" t="s">
        <v>439</v>
      </c>
    </row>
    <row r="6" spans="1:11" ht="48">
      <c r="A6" s="15" t="s">
        <v>440</v>
      </c>
      <c r="B6" s="15" t="s">
        <v>441</v>
      </c>
      <c r="C6" s="15">
        <v>200</v>
      </c>
      <c r="D6" s="16">
        <v>1</v>
      </c>
      <c r="E6" s="15">
        <v>150</v>
      </c>
      <c r="F6" s="15">
        <v>250</v>
      </c>
      <c r="G6" s="15" t="s">
        <v>442</v>
      </c>
      <c r="H6" s="15" t="s">
        <v>443</v>
      </c>
    </row>
    <row r="7" spans="1:11" ht="48">
      <c r="A7" s="15" t="s">
        <v>444</v>
      </c>
      <c r="B7" s="15" t="s">
        <v>445</v>
      </c>
      <c r="C7" s="15" t="s">
        <v>445</v>
      </c>
      <c r="D7" s="15" t="s">
        <v>445</v>
      </c>
      <c r="E7" s="15" t="s">
        <v>445</v>
      </c>
      <c r="F7" s="15">
        <v>300</v>
      </c>
      <c r="G7" s="15" t="s">
        <v>446</v>
      </c>
      <c r="H7" s="15" t="s">
        <v>447</v>
      </c>
    </row>
    <row r="8" spans="1:11">
      <c r="A8" s="15" t="s">
        <v>448</v>
      </c>
      <c r="B8" s="15">
        <v>550</v>
      </c>
      <c r="C8" s="15">
        <v>5000</v>
      </c>
      <c r="D8" s="15" t="s">
        <v>449</v>
      </c>
      <c r="E8" s="15" t="s">
        <v>450</v>
      </c>
      <c r="F8" s="15">
        <v>1040</v>
      </c>
      <c r="G8" s="15" t="s">
        <v>451</v>
      </c>
      <c r="H8" s="15" t="s">
        <v>449</v>
      </c>
    </row>
    <row r="9" spans="1:11">
      <c r="A9" s="19"/>
      <c r="B9" s="19"/>
      <c r="C9" s="19"/>
      <c r="D9" s="19"/>
      <c r="E9" s="19"/>
      <c r="F9" s="19"/>
    </row>
    <row r="10" spans="1:11">
      <c r="A10" s="19"/>
      <c r="B10" s="19"/>
      <c r="C10" s="19"/>
      <c r="D10" s="19"/>
      <c r="E10" s="19"/>
      <c r="F10" s="19"/>
    </row>
    <row r="11" spans="1:11">
      <c r="A11" s="19"/>
      <c r="B11" s="19"/>
      <c r="C11" s="19"/>
      <c r="D11" s="19"/>
      <c r="E11" s="19"/>
      <c r="F11" s="19"/>
    </row>
    <row r="12" spans="1:11" ht="36">
      <c r="A12" s="18" t="s">
        <v>452</v>
      </c>
      <c r="B12" s="18" t="s">
        <v>453</v>
      </c>
      <c r="C12" s="18" t="s">
        <v>454</v>
      </c>
      <c r="D12" s="18" t="s">
        <v>455</v>
      </c>
      <c r="E12" s="18" t="s">
        <v>456</v>
      </c>
      <c r="F12" s="18" t="s">
        <v>457</v>
      </c>
    </row>
    <row r="13" spans="1:11" ht="84">
      <c r="A13" s="15" t="s">
        <v>458</v>
      </c>
      <c r="B13" s="15" t="s">
        <v>459</v>
      </c>
      <c r="C13" s="15">
        <v>10</v>
      </c>
      <c r="D13" s="16" t="s">
        <v>460</v>
      </c>
      <c r="E13" s="15" t="s">
        <v>461</v>
      </c>
      <c r="F13" s="15" t="s">
        <v>462</v>
      </c>
    </row>
    <row r="14" spans="1:11" ht="24">
      <c r="A14" s="15" t="s">
        <v>463</v>
      </c>
      <c r="B14" s="15" t="s">
        <v>464</v>
      </c>
      <c r="C14" s="15" t="s">
        <v>465</v>
      </c>
      <c r="D14" s="15" t="s">
        <v>466</v>
      </c>
      <c r="E14" s="15" t="s">
        <v>467</v>
      </c>
      <c r="F14" s="15" t="s">
        <v>468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6" tint="0.39997558519241921"/>
  </sheetPr>
  <dimension ref="A1:G12"/>
  <sheetViews>
    <sheetView showGridLines="0" workbookViewId="0">
      <pane ySplit="4" topLeftCell="A5" activePane="bottomLeft" state="frozen"/>
      <selection pane="bottomLeft" activeCell="D26" sqref="D26"/>
    </sheetView>
  </sheetViews>
  <sheetFormatPr defaultColWidth="8.75" defaultRowHeight="13.9"/>
  <cols>
    <col min="1" max="1" width="10" customWidth="1"/>
    <col min="2" max="3" width="28" customWidth="1"/>
    <col min="4" max="4" width="42" customWidth="1"/>
    <col min="5" max="5" width="50" customWidth="1"/>
    <col min="6" max="6" width="42" customWidth="1"/>
    <col min="7" max="7" width="16" customWidth="1"/>
  </cols>
  <sheetData>
    <row r="1" spans="1:7" ht="17.45">
      <c r="A1" s="1" t="s">
        <v>469</v>
      </c>
    </row>
    <row r="2" spans="1:7">
      <c r="A2" s="2" t="s">
        <v>470</v>
      </c>
    </row>
    <row r="4" spans="1:7" ht="14.25">
      <c r="A4" s="9" t="s">
        <v>35</v>
      </c>
      <c r="B4" s="9" t="s">
        <v>95</v>
      </c>
      <c r="C4" s="9" t="s">
        <v>471</v>
      </c>
      <c r="D4" s="9" t="s">
        <v>472</v>
      </c>
      <c r="E4" s="9" t="s">
        <v>473</v>
      </c>
      <c r="F4" s="9" t="s">
        <v>474</v>
      </c>
      <c r="G4" s="9" t="s">
        <v>96</v>
      </c>
    </row>
    <row r="5" spans="1:7" ht="14.25">
      <c r="A5" s="3" t="s">
        <v>475</v>
      </c>
      <c r="B5" s="3" t="s">
        <v>476</v>
      </c>
      <c r="C5" s="3" t="s">
        <v>477</v>
      </c>
      <c r="D5" s="3" t="s">
        <v>478</v>
      </c>
      <c r="E5" s="3"/>
      <c r="F5" s="3" t="s">
        <v>479</v>
      </c>
      <c r="G5" s="3" t="s">
        <v>480</v>
      </c>
    </row>
    <row r="6" spans="1:7" ht="33.75">
      <c r="A6" s="3" t="s">
        <v>481</v>
      </c>
      <c r="B6" s="3" t="s">
        <v>458</v>
      </c>
      <c r="C6" s="3" t="s">
        <v>482</v>
      </c>
      <c r="D6" s="3" t="s">
        <v>483</v>
      </c>
      <c r="E6" s="13" t="s">
        <v>484</v>
      </c>
      <c r="F6" s="3" t="s">
        <v>485</v>
      </c>
      <c r="G6" s="3" t="s">
        <v>480</v>
      </c>
    </row>
    <row r="7" spans="1:7" ht="33.75">
      <c r="A7" s="3" t="s">
        <v>486</v>
      </c>
      <c r="B7" s="3" t="s">
        <v>487</v>
      </c>
      <c r="C7" s="3" t="s">
        <v>488</v>
      </c>
      <c r="D7" s="3" t="s">
        <v>489</v>
      </c>
      <c r="E7" s="13" t="s">
        <v>490</v>
      </c>
      <c r="F7" s="3" t="s">
        <v>491</v>
      </c>
      <c r="G7" s="3" t="s">
        <v>480</v>
      </c>
    </row>
    <row r="8" spans="1:7" ht="33.75">
      <c r="A8" s="3" t="s">
        <v>492</v>
      </c>
      <c r="B8" s="3" t="s">
        <v>493</v>
      </c>
      <c r="C8" s="3" t="s">
        <v>482</v>
      </c>
      <c r="D8" s="3" t="s">
        <v>494</v>
      </c>
      <c r="E8" s="13" t="s">
        <v>495</v>
      </c>
      <c r="F8" s="3" t="s">
        <v>496</v>
      </c>
      <c r="G8" s="3" t="s">
        <v>480</v>
      </c>
    </row>
    <row r="9" spans="1:7" ht="50.25">
      <c r="A9" s="3" t="s">
        <v>497</v>
      </c>
      <c r="B9" s="3" t="s">
        <v>498</v>
      </c>
      <c r="C9" s="3" t="s">
        <v>499</v>
      </c>
      <c r="D9" s="3" t="s">
        <v>500</v>
      </c>
      <c r="E9" s="13" t="s">
        <v>501</v>
      </c>
      <c r="F9" s="3" t="s">
        <v>502</v>
      </c>
      <c r="G9" s="3" t="s">
        <v>480</v>
      </c>
    </row>
    <row r="10" spans="1:7" ht="16.5">
      <c r="A10" s="3" t="s">
        <v>503</v>
      </c>
      <c r="B10" s="3" t="s">
        <v>504</v>
      </c>
      <c r="C10" s="3" t="s">
        <v>505</v>
      </c>
      <c r="D10" s="3" t="s">
        <v>506</v>
      </c>
      <c r="E10" s="13" t="s">
        <v>507</v>
      </c>
      <c r="F10" s="3" t="s">
        <v>508</v>
      </c>
      <c r="G10" s="3" t="s">
        <v>480</v>
      </c>
    </row>
    <row r="11" spans="1:7" ht="16.5">
      <c r="A11" s="3" t="s">
        <v>509</v>
      </c>
      <c r="B11" s="3" t="s">
        <v>510</v>
      </c>
      <c r="C11" s="3" t="s">
        <v>511</v>
      </c>
      <c r="D11" s="3" t="s">
        <v>512</v>
      </c>
      <c r="E11" s="13" t="s">
        <v>513</v>
      </c>
      <c r="F11" s="3" t="s">
        <v>514</v>
      </c>
      <c r="G11" s="3" t="s">
        <v>480</v>
      </c>
    </row>
    <row r="12" spans="1:7" ht="24">
      <c r="A12" s="3" t="s">
        <v>515</v>
      </c>
      <c r="B12" s="3" t="s">
        <v>516</v>
      </c>
      <c r="C12" s="3" t="s">
        <v>517</v>
      </c>
      <c r="D12" s="3" t="s">
        <v>518</v>
      </c>
      <c r="E12" s="13" t="s">
        <v>519</v>
      </c>
      <c r="F12" s="3" t="s">
        <v>520</v>
      </c>
      <c r="G12" s="3" t="s">
        <v>480</v>
      </c>
    </row>
  </sheetData>
  <hyperlinks>
    <hyperlink ref="E6" r:id="rId1" xr:uid="{9AB2D438-DB15-452D-85EF-9DD0D26437DC}"/>
    <hyperlink ref="E7" r:id="rId2" xr:uid="{9A8AF516-937F-4BD4-9D76-B00ECB253106}"/>
    <hyperlink ref="E8" r:id="rId3" xr:uid="{1FEE0764-5209-4C2B-8327-0F07EE2660A2}"/>
    <hyperlink ref="E9" r:id="rId4" xr:uid="{9BE3D553-FED5-4941-970F-342A596DE642}"/>
    <hyperlink ref="E10" r:id="rId5" xr:uid="{D1752BDE-49FF-4179-B4CB-33B1B1C80D39}"/>
    <hyperlink ref="E11" r:id="rId6" xr:uid="{85600FA3-B25B-4B71-87DB-3C0D9831D0F5}"/>
    <hyperlink ref="E12" r:id="rId7" xr:uid="{D8F84EE5-B41D-4BC7-8631-B4832FCD01A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5d2b9e5-4709-49d2-a04b-da7777e2c3d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FD49E2AF7FAC4AAE93A2DB8E9EF585" ma:contentTypeVersion="10" ma:contentTypeDescription="Crear nuevo documento." ma:contentTypeScope="" ma:versionID="e76d0cf00e3c43a267b1321455bd7773">
  <xsd:schema xmlns:xsd="http://www.w3.org/2001/XMLSchema" xmlns:xs="http://www.w3.org/2001/XMLSchema" xmlns:p="http://schemas.microsoft.com/office/2006/metadata/properties" xmlns:ns3="15d2b9e5-4709-49d2-a04b-da7777e2c3d9" xmlns:ns4="6710ecb4-f216-4b48-9968-9d76caf98eef" targetNamespace="http://schemas.microsoft.com/office/2006/metadata/properties" ma:root="true" ma:fieldsID="465da0e167bbc63f0906dbad3763f51a" ns3:_="" ns4:_="">
    <xsd:import namespace="15d2b9e5-4709-49d2-a04b-da7777e2c3d9"/>
    <xsd:import namespace="6710ecb4-f216-4b48-9968-9d76caf98ee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d2b9e5-4709-49d2-a04b-da7777e2c3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0ecb4-f216-4b48-9968-9d76caf98ee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85C439-E395-42A3-8A78-0A64B7101E31}"/>
</file>

<file path=customXml/itemProps2.xml><?xml version="1.0" encoding="utf-8"?>
<ds:datastoreItem xmlns:ds="http://schemas.openxmlformats.org/officeDocument/2006/customXml" ds:itemID="{587B63A8-1903-4F64-9981-ADB88F397AEA}"/>
</file>

<file path=customXml/itemProps3.xml><?xml version="1.0" encoding="utf-8"?>
<ds:datastoreItem xmlns:ds="http://schemas.openxmlformats.org/officeDocument/2006/customXml" ds:itemID="{8F4083FD-4B30-4871-B595-AEF7FEC9D2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2026-09-27T16:11:09Z</dcterms:created>
  <dcterms:modified xsi:type="dcterms:W3CDTF">2026-09-28T23:17:21Z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0x010100EEFD49E2AF7FAC4AAE93A2DB8E9EF585</vt:lpwstr>
  </property>
</Properties>
</file>